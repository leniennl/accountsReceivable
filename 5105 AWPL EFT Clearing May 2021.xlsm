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omments1.xml" ContentType="application/vnd.openxmlformats-officedocument.spreadsheetml.comments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Finance Team\Month end Reconciliations\FY 2021\11 May 2021\AU\"/>
    </mc:Choice>
  </mc:AlternateContent>
  <xr:revisionPtr revIDLastSave="0" documentId="13_ncr:1_{DE314160-60C3-4299-B293-08C93504A5EA}" xr6:coauthVersionLast="47" xr6:coauthVersionMax="47" xr10:uidLastSave="{00000000-0000-0000-0000-000000000000}"/>
  <bookViews>
    <workbookView xWindow="-110" yWindow="-110" windowWidth="19420" windowHeight="10420" tabRatio="964" firstSheet="1" activeTab="6" xr2:uid="{00000000-000D-0000-FFFF-FFFF00000000}"/>
  </bookViews>
  <sheets>
    <sheet name="5105 Opening" sheetId="202" state="hidden" r:id="rId1"/>
    <sheet name="5105" sheetId="258" r:id="rId2"/>
    <sheet name="Sales After Settlement Time" sheetId="265" r:id="rId3"/>
    <sheet name="EFTs in MidN drawer" sheetId="35" r:id="rId4"/>
    <sheet name="Midnight Drawer" sheetId="266" r:id="rId5"/>
    <sheet name="Summary" sheetId="201" r:id="rId6"/>
    <sheet name="Rec" sheetId="2" r:id="rId7"/>
  </sheets>
  <definedNames>
    <definedName name="_xlnm._FilterDatabase" localSheetId="3" hidden="1">'EFTs in MidN drawer'!$A$1:$H$705</definedName>
    <definedName name="_xlnm._FilterDatabase" localSheetId="5" hidden="1">Summary!$A$2:$R$77</definedName>
    <definedName name="EoMDate">'Sales After Settlement Time'!$K$2</definedName>
    <definedName name="EstTime">'Sales After Settlement Time'!$L$13</definedName>
    <definedName name="Fetch_Sales_After_Bank_Settlement_Time" localSheetId="2">'Sales After Settlement Time'!$A$1:$C$4</definedName>
    <definedName name="Fetch_Sales_After_Bank_Settlement_Time_1" localSheetId="2">'Sales After Settlement Time'!$A$1</definedName>
    <definedName name="Fetch_Sales_After_Bank_Settlement_Time_2" localSheetId="2">'Sales After Settlement Time'!$A$1</definedName>
    <definedName name="Fetch_Sales_After_Bank_Settlement_Time_3" localSheetId="2">'Sales After Settlement Time'!$A$1:$C$5</definedName>
    <definedName name="Fetch_Sales_After_Bank_Settlement_Time_4" localSheetId="2">'Sales After Settlement Time'!$A$1:$C$5</definedName>
    <definedName name="Fetch_Sales_After_Bank_Settlement_Time_5" localSheetId="2">'Sales After Settlement Time'!$A$1:$C$6</definedName>
    <definedName name="Fetch_Sales_After_Bank_Settlement_Time_6" localSheetId="2">'Sales After Settlement Time'!$A$1:$C$11</definedName>
    <definedName name="Fetch_Sales_After_Bank_Settlement_Time_7" localSheetId="2">'Sales After Settlement Time'!$A$1:$C$10</definedName>
    <definedName name="Fetch_Sales_in_midnight_drawers" localSheetId="3">'EFTs in MidN drawer'!$A$1:$E$150</definedName>
    <definedName name="Fetch_Sales_in_midnight_drawers_1" localSheetId="3">'EFTs in MidN drawer'!$A$1:$E$150</definedName>
    <definedName name="Fetch_Sales_in_midnight_drawers_2" localSheetId="3">'EFTs in MidN drawer'!$A$1:$E$155</definedName>
    <definedName name="Fetch_Sales_in_midnight_drawers_3" localSheetId="3">'EFTs in MidN drawer'!$A$1:$E$176</definedName>
    <definedName name="Fetch_Sales_in_midnight_drawers_4" localSheetId="3">'EFTs in MidN drawer'!$A$1:$E$181</definedName>
    <definedName name="Fetch_Sales_in_midnight_drawers_5" localSheetId="3">'EFTs in MidN drawer'!$A$1:$E$1</definedName>
    <definedName name="Fetch_Sales_in_midnight_drawers_6" localSheetId="3">'EFTs in MidN drawer'!$A$1:$E$1</definedName>
    <definedName name="Fetch_Sales_in_midnight_drawers_7" localSheetId="3">'EFTs in MidN drawer'!$A$1:$E$111</definedName>
    <definedName name="Fetch_Sales_in_midnight_drawers_8" localSheetId="3">'EFTs in MidN drawer'!$A$1:$E$691</definedName>
    <definedName name="Fetch_Sales_in_midnight_drawers_9" localSheetId="3">'EFTs in MidN drawer'!$A$1:$E$705</definedName>
    <definedName name="MidnightDate">'EFTs in MidN drawer'!$L$2</definedName>
    <definedName name="NTTime">'Sales After Settlement Time'!$L$19</definedName>
    <definedName name="_xlnm.Print_Area" localSheetId="5">Summary!$A$1:$R$81</definedName>
    <definedName name="QLDTime">'Sales After Settlement Time'!$L$15</definedName>
    <definedName name="SATime">'Sales After Settlement Time'!$L$16</definedName>
    <definedName name="Show_Midnight_Drawer" localSheetId="3">'EFTs in MidN drawer'!$A$1:$L$2</definedName>
    <definedName name="Show_Midnight_Drawer" localSheetId="4">'Midnight Drawer'!$A$1:$K$23</definedName>
    <definedName name="Show_Midnight_Drawer_1" localSheetId="4">'Midnight Drawer'!$A$1:$K$7</definedName>
    <definedName name="Show_Midnight_Drawer_2" localSheetId="4">'Midnight Drawer'!$A$1:$K$4</definedName>
    <definedName name="Show_Midnight_Drawer_3" localSheetId="4">'Midnight Drawer'!$A$1:$K$12</definedName>
    <definedName name="Show_Midnight_Drawer_4" localSheetId="4">'Midnight Drawer'!$A$1:$K$12</definedName>
    <definedName name="Show_Midnight_Drawer_5" localSheetId="4">'Midnight Drawer'!$A$1:$K$19</definedName>
    <definedName name="WATime">'Sales After Settlement Time'!$L$17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6" i="258" l="1"/>
  <c r="B7" i="258"/>
  <c r="B8" i="258"/>
  <c r="B9" i="258"/>
  <c r="B10" i="258"/>
  <c r="B11" i="258"/>
  <c r="B12" i="258"/>
  <c r="B13" i="258"/>
  <c r="B14" i="258"/>
  <c r="B15" i="258"/>
  <c r="B16" i="258"/>
  <c r="B17" i="258"/>
  <c r="B18" i="258"/>
  <c r="B19" i="258"/>
  <c r="B20" i="258"/>
  <c r="B21" i="258"/>
  <c r="B22" i="258"/>
  <c r="B23" i="258"/>
  <c r="B24" i="258"/>
  <c r="B25" i="258"/>
  <c r="B26" i="258"/>
  <c r="B27" i="258"/>
  <c r="B28" i="258"/>
  <c r="B29" i="258"/>
  <c r="B30" i="258"/>
  <c r="B31" i="258"/>
  <c r="B32" i="258"/>
  <c r="B33" i="258"/>
  <c r="B34" i="258"/>
  <c r="B35" i="258"/>
  <c r="B36" i="258"/>
  <c r="B37" i="258"/>
  <c r="B5" i="258"/>
  <c r="B38" i="258" s="1"/>
  <c r="C3" i="201"/>
  <c r="C4" i="201"/>
  <c r="C5" i="201"/>
  <c r="C6" i="201"/>
  <c r="C7" i="201"/>
  <c r="C8" i="201"/>
  <c r="C9" i="201"/>
  <c r="C10" i="201"/>
  <c r="C11" i="201"/>
  <c r="C12" i="201"/>
  <c r="C13" i="201"/>
  <c r="C14" i="201"/>
  <c r="C15" i="201"/>
  <c r="C16" i="201"/>
  <c r="C17" i="201"/>
  <c r="C18" i="201"/>
  <c r="C19" i="201"/>
  <c r="C20" i="201"/>
  <c r="C21" i="201"/>
  <c r="C22" i="201"/>
  <c r="C23" i="201"/>
  <c r="C24" i="201"/>
  <c r="C25" i="201"/>
  <c r="C26" i="201"/>
  <c r="C27" i="201"/>
  <c r="C28" i="201"/>
  <c r="C29" i="201"/>
  <c r="C30" i="201"/>
  <c r="C31" i="201"/>
  <c r="C32" i="201"/>
  <c r="C33" i="201"/>
  <c r="C34" i="201"/>
  <c r="C35" i="201"/>
  <c r="C36" i="201"/>
  <c r="C37" i="201"/>
  <c r="C38" i="201"/>
  <c r="C39" i="201"/>
  <c r="C40" i="201"/>
  <c r="C41" i="201"/>
  <c r="C42" i="201"/>
  <c r="C43" i="201"/>
  <c r="C44" i="201"/>
  <c r="C45" i="201"/>
  <c r="C46" i="201"/>
  <c r="C47" i="201"/>
  <c r="C48" i="201"/>
  <c r="C49" i="201"/>
  <c r="C50" i="201"/>
  <c r="C51" i="201"/>
  <c r="C52" i="201"/>
  <c r="C53" i="201"/>
  <c r="C54" i="201"/>
  <c r="C55" i="201"/>
  <c r="C56" i="201"/>
  <c r="C57" i="201"/>
  <c r="C58" i="201"/>
  <c r="C59" i="201"/>
  <c r="C60" i="201"/>
  <c r="C61" i="201"/>
  <c r="C62" i="201"/>
  <c r="C63" i="201"/>
  <c r="C64" i="201"/>
  <c r="C65" i="201"/>
  <c r="C66" i="201"/>
  <c r="C67" i="201"/>
  <c r="C68" i="201"/>
  <c r="C69" i="201"/>
  <c r="C70" i="201"/>
  <c r="C71" i="201"/>
  <c r="C72" i="201"/>
  <c r="C73" i="201"/>
  <c r="C75" i="201"/>
  <c r="C76" i="201"/>
  <c r="C77" i="201"/>
  <c r="C74" i="201"/>
  <c r="L13" i="265" l="1"/>
  <c r="L14" i="265"/>
  <c r="L15" i="265"/>
  <c r="L16" i="265"/>
  <c r="L17" i="265"/>
  <c r="L18" i="265"/>
  <c r="L19" i="265"/>
  <c r="L20" i="265"/>
  <c r="F3" i="35" l="1"/>
  <c r="G3" i="35" s="1"/>
  <c r="H3" i="35" s="1"/>
  <c r="F4" i="35"/>
  <c r="G4" i="35" s="1"/>
  <c r="H4" i="35" s="1"/>
  <c r="F8" i="35"/>
  <c r="G8" i="35" s="1"/>
  <c r="H8" i="35" s="1"/>
  <c r="F12" i="35"/>
  <c r="G12" i="35" s="1"/>
  <c r="H12" i="35" s="1"/>
  <c r="F16" i="35"/>
  <c r="G16" i="35" s="1"/>
  <c r="H16" i="35" s="1"/>
  <c r="F20" i="35"/>
  <c r="G20" i="35" s="1"/>
  <c r="H20" i="35" s="1"/>
  <c r="F24" i="35"/>
  <c r="G24" i="35" s="1"/>
  <c r="H24" i="35" s="1"/>
  <c r="F28" i="35"/>
  <c r="G28" i="35" s="1"/>
  <c r="H28" i="35" s="1"/>
  <c r="F32" i="35"/>
  <c r="G32" i="35" s="1"/>
  <c r="H32" i="35" s="1"/>
  <c r="F36" i="35"/>
  <c r="G36" i="35" s="1"/>
  <c r="H36" i="35" s="1"/>
  <c r="F40" i="35"/>
  <c r="G40" i="35" s="1"/>
  <c r="H40" i="35" s="1"/>
  <c r="F44" i="35"/>
  <c r="G44" i="35" s="1"/>
  <c r="H44" i="35" s="1"/>
  <c r="F48" i="35"/>
  <c r="G48" i="35" s="1"/>
  <c r="H48" i="35" s="1"/>
  <c r="F52" i="35"/>
  <c r="G52" i="35" s="1"/>
  <c r="H52" i="35" s="1"/>
  <c r="F56" i="35"/>
  <c r="G56" i="35" s="1"/>
  <c r="H56" i="35" s="1"/>
  <c r="F60" i="35"/>
  <c r="G60" i="35" s="1"/>
  <c r="H60" i="35" s="1"/>
  <c r="F64" i="35"/>
  <c r="G64" i="35" s="1"/>
  <c r="H64" i="35" s="1"/>
  <c r="F68" i="35"/>
  <c r="G68" i="35" s="1"/>
  <c r="H68" i="35" s="1"/>
  <c r="F72" i="35"/>
  <c r="G72" i="35" s="1"/>
  <c r="H72" i="35" s="1"/>
  <c r="F76" i="35"/>
  <c r="G76" i="35" s="1"/>
  <c r="H76" i="35" s="1"/>
  <c r="F80" i="35"/>
  <c r="G80" i="35" s="1"/>
  <c r="H80" i="35" s="1"/>
  <c r="F84" i="35"/>
  <c r="G84" i="35" s="1"/>
  <c r="H84" i="35" s="1"/>
  <c r="F88" i="35"/>
  <c r="G88" i="35" s="1"/>
  <c r="H88" i="35" s="1"/>
  <c r="F92" i="35"/>
  <c r="G92" i="35" s="1"/>
  <c r="H92" i="35" s="1"/>
  <c r="F96" i="35"/>
  <c r="G96" i="35" s="1"/>
  <c r="H96" i="35" s="1"/>
  <c r="F101" i="35"/>
  <c r="G101" i="35" s="1"/>
  <c r="H101" i="35" s="1"/>
  <c r="F105" i="35"/>
  <c r="G105" i="35" s="1"/>
  <c r="H105" i="35" s="1"/>
  <c r="F109" i="35"/>
  <c r="G109" i="35" s="1"/>
  <c r="H109" i="35" s="1"/>
  <c r="F113" i="35"/>
  <c r="G113" i="35" s="1"/>
  <c r="H113" i="35" s="1"/>
  <c r="F117" i="35"/>
  <c r="G117" i="35" s="1"/>
  <c r="H117" i="35" s="1"/>
  <c r="F121" i="35"/>
  <c r="G121" i="35" s="1"/>
  <c r="H121" i="35" s="1"/>
  <c r="F125" i="35"/>
  <c r="G125" i="35" s="1"/>
  <c r="H125" i="35" s="1"/>
  <c r="F129" i="35"/>
  <c r="G129" i="35" s="1"/>
  <c r="H129" i="35" s="1"/>
  <c r="F134" i="35"/>
  <c r="G134" i="35" s="1"/>
  <c r="H134" i="35" s="1"/>
  <c r="F138" i="35"/>
  <c r="G138" i="35" s="1"/>
  <c r="H138" i="35" s="1"/>
  <c r="F142" i="35"/>
  <c r="G142" i="35" s="1"/>
  <c r="H142" i="35" s="1"/>
  <c r="F147" i="35"/>
  <c r="G147" i="35" s="1"/>
  <c r="H147" i="35" s="1"/>
  <c r="F151" i="35"/>
  <c r="G151" i="35" s="1"/>
  <c r="H151" i="35" s="1"/>
  <c r="F155" i="35"/>
  <c r="G155" i="35" s="1"/>
  <c r="H155" i="35" s="1"/>
  <c r="F159" i="35"/>
  <c r="G159" i="35" s="1"/>
  <c r="H159" i="35" s="1"/>
  <c r="F163" i="35"/>
  <c r="G163" i="35" s="1"/>
  <c r="H163" i="35" s="1"/>
  <c r="F167" i="35"/>
  <c r="G167" i="35" s="1"/>
  <c r="H167" i="35" s="1"/>
  <c r="F171" i="35"/>
  <c r="G171" i="35" s="1"/>
  <c r="H171" i="35" s="1"/>
  <c r="F175" i="35"/>
  <c r="G175" i="35" s="1"/>
  <c r="H175" i="35" s="1"/>
  <c r="F179" i="35"/>
  <c r="G179" i="35" s="1"/>
  <c r="H179" i="35" s="1"/>
  <c r="F183" i="35"/>
  <c r="G183" i="35" s="1"/>
  <c r="H183" i="35" s="1"/>
  <c r="F187" i="35"/>
  <c r="G187" i="35" s="1"/>
  <c r="H187" i="35" s="1"/>
  <c r="F191" i="35"/>
  <c r="G191" i="35" s="1"/>
  <c r="H191" i="35" s="1"/>
  <c r="F195" i="35"/>
  <c r="G195" i="35" s="1"/>
  <c r="H195" i="35" s="1"/>
  <c r="F5" i="35"/>
  <c r="G5" i="35" s="1"/>
  <c r="H5" i="35" s="1"/>
  <c r="F9" i="35"/>
  <c r="G9" i="35" s="1"/>
  <c r="H9" i="35" s="1"/>
  <c r="F13" i="35"/>
  <c r="G13" i="35" s="1"/>
  <c r="H13" i="35" s="1"/>
  <c r="F17" i="35"/>
  <c r="G17" i="35" s="1"/>
  <c r="H17" i="35" s="1"/>
  <c r="F21" i="35"/>
  <c r="G21" i="35" s="1"/>
  <c r="H21" i="35" s="1"/>
  <c r="F25" i="35"/>
  <c r="G25" i="35" s="1"/>
  <c r="H25" i="35" s="1"/>
  <c r="F29" i="35"/>
  <c r="G29" i="35" s="1"/>
  <c r="H29" i="35" s="1"/>
  <c r="F33" i="35"/>
  <c r="G33" i="35" s="1"/>
  <c r="H33" i="35" s="1"/>
  <c r="F37" i="35"/>
  <c r="G37" i="35" s="1"/>
  <c r="H37" i="35" s="1"/>
  <c r="F41" i="35"/>
  <c r="G41" i="35" s="1"/>
  <c r="H41" i="35" s="1"/>
  <c r="F45" i="35"/>
  <c r="G45" i="35" s="1"/>
  <c r="H45" i="35" s="1"/>
  <c r="F49" i="35"/>
  <c r="G49" i="35" s="1"/>
  <c r="H49" i="35" s="1"/>
  <c r="F53" i="35"/>
  <c r="G53" i="35" s="1"/>
  <c r="H53" i="35" s="1"/>
  <c r="F57" i="35"/>
  <c r="G57" i="35" s="1"/>
  <c r="H57" i="35" s="1"/>
  <c r="F61" i="35"/>
  <c r="G61" i="35" s="1"/>
  <c r="H61" i="35" s="1"/>
  <c r="F65" i="35"/>
  <c r="G65" i="35" s="1"/>
  <c r="H65" i="35" s="1"/>
  <c r="F69" i="35"/>
  <c r="G69" i="35" s="1"/>
  <c r="H69" i="35" s="1"/>
  <c r="F73" i="35"/>
  <c r="G73" i="35" s="1"/>
  <c r="H73" i="35" s="1"/>
  <c r="F77" i="35"/>
  <c r="G77" i="35" s="1"/>
  <c r="H77" i="35" s="1"/>
  <c r="F81" i="35"/>
  <c r="G81" i="35" s="1"/>
  <c r="H81" i="35" s="1"/>
  <c r="F85" i="35"/>
  <c r="G85" i="35" s="1"/>
  <c r="H85" i="35" s="1"/>
  <c r="F89" i="35"/>
  <c r="G89" i="35" s="1"/>
  <c r="H89" i="35" s="1"/>
  <c r="F93" i="35"/>
  <c r="G93" i="35" s="1"/>
  <c r="H93" i="35" s="1"/>
  <c r="F98" i="35"/>
  <c r="G98" i="35" s="1"/>
  <c r="H98" i="35" s="1"/>
  <c r="F102" i="35"/>
  <c r="G102" i="35" s="1"/>
  <c r="H102" i="35" s="1"/>
  <c r="F106" i="35"/>
  <c r="G106" i="35" s="1"/>
  <c r="H106" i="35" s="1"/>
  <c r="F110" i="35"/>
  <c r="G110" i="35" s="1"/>
  <c r="H110" i="35" s="1"/>
  <c r="F114" i="35"/>
  <c r="G114" i="35" s="1"/>
  <c r="H114" i="35" s="1"/>
  <c r="F118" i="35"/>
  <c r="G118" i="35" s="1"/>
  <c r="H118" i="35" s="1"/>
  <c r="F122" i="35"/>
  <c r="G122" i="35" s="1"/>
  <c r="H122" i="35" s="1"/>
  <c r="F126" i="35"/>
  <c r="G126" i="35" s="1"/>
  <c r="H126" i="35" s="1"/>
  <c r="F130" i="35"/>
  <c r="G130" i="35" s="1"/>
  <c r="H130" i="35" s="1"/>
  <c r="F135" i="35"/>
  <c r="G135" i="35" s="1"/>
  <c r="H135" i="35" s="1"/>
  <c r="F139" i="35"/>
  <c r="G139" i="35" s="1"/>
  <c r="H139" i="35" s="1"/>
  <c r="F143" i="35"/>
  <c r="G143" i="35" s="1"/>
  <c r="H143" i="35" s="1"/>
  <c r="F148" i="35"/>
  <c r="G148" i="35" s="1"/>
  <c r="H148" i="35" s="1"/>
  <c r="F152" i="35"/>
  <c r="G152" i="35" s="1"/>
  <c r="H152" i="35" s="1"/>
  <c r="F156" i="35"/>
  <c r="G156" i="35" s="1"/>
  <c r="H156" i="35" s="1"/>
  <c r="F160" i="35"/>
  <c r="G160" i="35" s="1"/>
  <c r="H160" i="35" s="1"/>
  <c r="F164" i="35"/>
  <c r="G164" i="35" s="1"/>
  <c r="H164" i="35" s="1"/>
  <c r="F168" i="35"/>
  <c r="G168" i="35" s="1"/>
  <c r="H168" i="35" s="1"/>
  <c r="F172" i="35"/>
  <c r="G172" i="35" s="1"/>
  <c r="H172" i="35" s="1"/>
  <c r="F176" i="35"/>
  <c r="G176" i="35" s="1"/>
  <c r="H176" i="35" s="1"/>
  <c r="F180" i="35"/>
  <c r="G180" i="35" s="1"/>
  <c r="H180" i="35" s="1"/>
  <c r="F184" i="35"/>
  <c r="G184" i="35" s="1"/>
  <c r="H184" i="35" s="1"/>
  <c r="F188" i="35"/>
  <c r="G188" i="35" s="1"/>
  <c r="H188" i="35" s="1"/>
  <c r="F192" i="35"/>
  <c r="G192" i="35" s="1"/>
  <c r="H192" i="35" s="1"/>
  <c r="F196" i="35"/>
  <c r="G196" i="35" s="1"/>
  <c r="H196" i="35" s="1"/>
  <c r="F200" i="35"/>
  <c r="G200" i="35" s="1"/>
  <c r="H200" i="35" s="1"/>
  <c r="F204" i="35"/>
  <c r="G204" i="35" s="1"/>
  <c r="H204" i="35" s="1"/>
  <c r="F208" i="35"/>
  <c r="G208" i="35" s="1"/>
  <c r="H208" i="35" s="1"/>
  <c r="F213" i="35"/>
  <c r="G213" i="35" s="1"/>
  <c r="H213" i="35" s="1"/>
  <c r="F217" i="35"/>
  <c r="G217" i="35" s="1"/>
  <c r="H217" i="35" s="1"/>
  <c r="F221" i="35"/>
  <c r="G221" i="35" s="1"/>
  <c r="H221" i="35" s="1"/>
  <c r="F225" i="35"/>
  <c r="G225" i="35" s="1"/>
  <c r="H225" i="35" s="1"/>
  <c r="F229" i="35"/>
  <c r="G229" i="35" s="1"/>
  <c r="H229" i="35" s="1"/>
  <c r="F233" i="35"/>
  <c r="G233" i="35" s="1"/>
  <c r="H233" i="35" s="1"/>
  <c r="F237" i="35"/>
  <c r="G237" i="35" s="1"/>
  <c r="H237" i="35" s="1"/>
  <c r="F241" i="35"/>
  <c r="G241" i="35" s="1"/>
  <c r="H241" i="35" s="1"/>
  <c r="F245" i="35"/>
  <c r="G245" i="35" s="1"/>
  <c r="H245" i="35" s="1"/>
  <c r="F249" i="35"/>
  <c r="G249" i="35" s="1"/>
  <c r="H249" i="35" s="1"/>
  <c r="F253" i="35"/>
  <c r="G253" i="35" s="1"/>
  <c r="H253" i="35" s="1"/>
  <c r="F257" i="35"/>
  <c r="G257" i="35" s="1"/>
  <c r="H257" i="35" s="1"/>
  <c r="F261" i="35"/>
  <c r="G261" i="35" s="1"/>
  <c r="H261" i="35" s="1"/>
  <c r="F265" i="35"/>
  <c r="G265" i="35" s="1"/>
  <c r="H265" i="35" s="1"/>
  <c r="F269" i="35"/>
  <c r="G269" i="35" s="1"/>
  <c r="H269" i="35" s="1"/>
  <c r="F273" i="35"/>
  <c r="G273" i="35" s="1"/>
  <c r="H273" i="35" s="1"/>
  <c r="F277" i="35"/>
  <c r="G277" i="35" s="1"/>
  <c r="H277" i="35" s="1"/>
  <c r="F281" i="35"/>
  <c r="G281" i="35" s="1"/>
  <c r="H281" i="35" s="1"/>
  <c r="F285" i="35"/>
  <c r="G285" i="35" s="1"/>
  <c r="H285" i="35" s="1"/>
  <c r="F289" i="35"/>
  <c r="G289" i="35" s="1"/>
  <c r="H289" i="35" s="1"/>
  <c r="F293" i="35"/>
  <c r="G293" i="35" s="1"/>
  <c r="H293" i="35" s="1"/>
  <c r="F297" i="35"/>
  <c r="G297" i="35" s="1"/>
  <c r="H297" i="35" s="1"/>
  <c r="F301" i="35"/>
  <c r="G301" i="35" s="1"/>
  <c r="H301" i="35" s="1"/>
  <c r="F305" i="35"/>
  <c r="G305" i="35" s="1"/>
  <c r="H305" i="35" s="1"/>
  <c r="F309" i="35"/>
  <c r="G309" i="35" s="1"/>
  <c r="H309" i="35" s="1"/>
  <c r="F313" i="35"/>
  <c r="G313" i="35" s="1"/>
  <c r="H313" i="35" s="1"/>
  <c r="F317" i="35"/>
  <c r="G317" i="35" s="1"/>
  <c r="H317" i="35" s="1"/>
  <c r="F321" i="35"/>
  <c r="G321" i="35" s="1"/>
  <c r="H321" i="35" s="1"/>
  <c r="F325" i="35"/>
  <c r="G325" i="35" s="1"/>
  <c r="H325" i="35" s="1"/>
  <c r="F329" i="35"/>
  <c r="G329" i="35" s="1"/>
  <c r="H329" i="35" s="1"/>
  <c r="F333" i="35"/>
  <c r="G333" i="35" s="1"/>
  <c r="H333" i="35" s="1"/>
  <c r="F337" i="35"/>
  <c r="G337" i="35" s="1"/>
  <c r="H337" i="35" s="1"/>
  <c r="F341" i="35"/>
  <c r="G341" i="35" s="1"/>
  <c r="H341" i="35" s="1"/>
  <c r="F2" i="35"/>
  <c r="G2" i="35" s="1"/>
  <c r="H2" i="35" s="1"/>
  <c r="F6" i="35"/>
  <c r="G6" i="35" s="1"/>
  <c r="H6" i="35" s="1"/>
  <c r="F10" i="35"/>
  <c r="G10" i="35" s="1"/>
  <c r="H10" i="35" s="1"/>
  <c r="F14" i="35"/>
  <c r="G14" i="35" s="1"/>
  <c r="H14" i="35" s="1"/>
  <c r="F18" i="35"/>
  <c r="G18" i="35" s="1"/>
  <c r="H18" i="35" s="1"/>
  <c r="F22" i="35"/>
  <c r="G22" i="35" s="1"/>
  <c r="H22" i="35" s="1"/>
  <c r="F26" i="35"/>
  <c r="G26" i="35" s="1"/>
  <c r="H26" i="35" s="1"/>
  <c r="F30" i="35"/>
  <c r="G30" i="35" s="1"/>
  <c r="H30" i="35" s="1"/>
  <c r="F34" i="35"/>
  <c r="G34" i="35" s="1"/>
  <c r="H34" i="35" s="1"/>
  <c r="F38" i="35"/>
  <c r="G38" i="35" s="1"/>
  <c r="H38" i="35" s="1"/>
  <c r="F42" i="35"/>
  <c r="G42" i="35" s="1"/>
  <c r="H42" i="35" s="1"/>
  <c r="F46" i="35"/>
  <c r="G46" i="35" s="1"/>
  <c r="H46" i="35" s="1"/>
  <c r="F50" i="35"/>
  <c r="G50" i="35" s="1"/>
  <c r="H50" i="35" s="1"/>
  <c r="F54" i="35"/>
  <c r="G54" i="35" s="1"/>
  <c r="H54" i="35" s="1"/>
  <c r="F58" i="35"/>
  <c r="G58" i="35" s="1"/>
  <c r="H58" i="35" s="1"/>
  <c r="F62" i="35"/>
  <c r="G62" i="35" s="1"/>
  <c r="H62" i="35" s="1"/>
  <c r="F66" i="35"/>
  <c r="G66" i="35" s="1"/>
  <c r="H66" i="35" s="1"/>
  <c r="F70" i="35"/>
  <c r="G70" i="35" s="1"/>
  <c r="H70" i="35" s="1"/>
  <c r="F74" i="35"/>
  <c r="G74" i="35" s="1"/>
  <c r="H74" i="35" s="1"/>
  <c r="F78" i="35"/>
  <c r="G78" i="35" s="1"/>
  <c r="H78" i="35" s="1"/>
  <c r="F82" i="35"/>
  <c r="G82" i="35" s="1"/>
  <c r="H82" i="35" s="1"/>
  <c r="F86" i="35"/>
  <c r="G86" i="35" s="1"/>
  <c r="H86" i="35" s="1"/>
  <c r="F90" i="35"/>
  <c r="G90" i="35" s="1"/>
  <c r="H90" i="35" s="1"/>
  <c r="F94" i="35"/>
  <c r="G94" i="35" s="1"/>
  <c r="H94" i="35" s="1"/>
  <c r="F99" i="35"/>
  <c r="G99" i="35" s="1"/>
  <c r="H99" i="35" s="1"/>
  <c r="F103" i="35"/>
  <c r="G103" i="35" s="1"/>
  <c r="H103" i="35" s="1"/>
  <c r="F107" i="35"/>
  <c r="G107" i="35" s="1"/>
  <c r="H107" i="35" s="1"/>
  <c r="F111" i="35"/>
  <c r="G111" i="35" s="1"/>
  <c r="H111" i="35" s="1"/>
  <c r="F115" i="35"/>
  <c r="G115" i="35" s="1"/>
  <c r="H115" i="35" s="1"/>
  <c r="F119" i="35"/>
  <c r="G119" i="35" s="1"/>
  <c r="H119" i="35" s="1"/>
  <c r="F123" i="35"/>
  <c r="G123" i="35" s="1"/>
  <c r="H123" i="35" s="1"/>
  <c r="F127" i="35"/>
  <c r="G127" i="35" s="1"/>
  <c r="H127" i="35" s="1"/>
  <c r="F131" i="35"/>
  <c r="G131" i="35" s="1"/>
  <c r="H131" i="35" s="1"/>
  <c r="F136" i="35"/>
  <c r="G136" i="35" s="1"/>
  <c r="H136" i="35" s="1"/>
  <c r="F140" i="35"/>
  <c r="G140" i="35" s="1"/>
  <c r="H140" i="35" s="1"/>
  <c r="F145" i="35"/>
  <c r="G145" i="35" s="1"/>
  <c r="H145" i="35" s="1"/>
  <c r="F149" i="35"/>
  <c r="G149" i="35" s="1"/>
  <c r="H149" i="35" s="1"/>
  <c r="F153" i="35"/>
  <c r="G153" i="35" s="1"/>
  <c r="H153" i="35" s="1"/>
  <c r="F157" i="35"/>
  <c r="G157" i="35" s="1"/>
  <c r="H157" i="35" s="1"/>
  <c r="F161" i="35"/>
  <c r="G161" i="35" s="1"/>
  <c r="H161" i="35" s="1"/>
  <c r="F165" i="35"/>
  <c r="G165" i="35" s="1"/>
  <c r="H165" i="35" s="1"/>
  <c r="F169" i="35"/>
  <c r="G169" i="35" s="1"/>
  <c r="H169" i="35" s="1"/>
  <c r="F173" i="35"/>
  <c r="G173" i="35" s="1"/>
  <c r="H173" i="35" s="1"/>
  <c r="F177" i="35"/>
  <c r="G177" i="35" s="1"/>
  <c r="H177" i="35" s="1"/>
  <c r="F181" i="35"/>
  <c r="G181" i="35" s="1"/>
  <c r="H181" i="35" s="1"/>
  <c r="F185" i="35"/>
  <c r="G185" i="35" s="1"/>
  <c r="H185" i="35" s="1"/>
  <c r="F189" i="35"/>
  <c r="G189" i="35" s="1"/>
  <c r="H189" i="35" s="1"/>
  <c r="F193" i="35"/>
  <c r="G193" i="35" s="1"/>
  <c r="H193" i="35" s="1"/>
  <c r="F197" i="35"/>
  <c r="G197" i="35" s="1"/>
  <c r="H197" i="35" s="1"/>
  <c r="F201" i="35"/>
  <c r="G201" i="35" s="1"/>
  <c r="H201" i="35" s="1"/>
  <c r="F205" i="35"/>
  <c r="G205" i="35" s="1"/>
  <c r="H205" i="35" s="1"/>
  <c r="F209" i="35"/>
  <c r="G209" i="35" s="1"/>
  <c r="H209" i="35" s="1"/>
  <c r="F214" i="35"/>
  <c r="G214" i="35" s="1"/>
  <c r="H214" i="35" s="1"/>
  <c r="F218" i="35"/>
  <c r="G218" i="35" s="1"/>
  <c r="H218" i="35" s="1"/>
  <c r="F222" i="35"/>
  <c r="G222" i="35" s="1"/>
  <c r="H222" i="35" s="1"/>
  <c r="F226" i="35"/>
  <c r="G226" i="35" s="1"/>
  <c r="H226" i="35" s="1"/>
  <c r="F230" i="35"/>
  <c r="G230" i="35" s="1"/>
  <c r="H230" i="35" s="1"/>
  <c r="F234" i="35"/>
  <c r="G234" i="35" s="1"/>
  <c r="H234" i="35" s="1"/>
  <c r="F238" i="35"/>
  <c r="G238" i="35" s="1"/>
  <c r="H238" i="35" s="1"/>
  <c r="F242" i="35"/>
  <c r="G242" i="35" s="1"/>
  <c r="H242" i="35" s="1"/>
  <c r="F246" i="35"/>
  <c r="G246" i="35" s="1"/>
  <c r="H246" i="35" s="1"/>
  <c r="F250" i="35"/>
  <c r="G250" i="35" s="1"/>
  <c r="H250" i="35" s="1"/>
  <c r="F254" i="35"/>
  <c r="G254" i="35" s="1"/>
  <c r="H254" i="35" s="1"/>
  <c r="F258" i="35"/>
  <c r="G258" i="35" s="1"/>
  <c r="H258" i="35" s="1"/>
  <c r="F262" i="35"/>
  <c r="G262" i="35" s="1"/>
  <c r="H262" i="35" s="1"/>
  <c r="F266" i="35"/>
  <c r="G266" i="35" s="1"/>
  <c r="H266" i="35" s="1"/>
  <c r="F270" i="35"/>
  <c r="G270" i="35" s="1"/>
  <c r="H270" i="35" s="1"/>
  <c r="F274" i="35"/>
  <c r="G274" i="35" s="1"/>
  <c r="H274" i="35" s="1"/>
  <c r="F278" i="35"/>
  <c r="G278" i="35" s="1"/>
  <c r="H278" i="35" s="1"/>
  <c r="F282" i="35"/>
  <c r="G282" i="35" s="1"/>
  <c r="H282" i="35" s="1"/>
  <c r="F286" i="35"/>
  <c r="G286" i="35" s="1"/>
  <c r="H286" i="35" s="1"/>
  <c r="F290" i="35"/>
  <c r="G290" i="35" s="1"/>
  <c r="H290" i="35" s="1"/>
  <c r="F294" i="35"/>
  <c r="G294" i="35" s="1"/>
  <c r="H294" i="35" s="1"/>
  <c r="F298" i="35"/>
  <c r="G298" i="35" s="1"/>
  <c r="H298" i="35" s="1"/>
  <c r="F302" i="35"/>
  <c r="G302" i="35" s="1"/>
  <c r="H302" i="35" s="1"/>
  <c r="F306" i="35"/>
  <c r="G306" i="35" s="1"/>
  <c r="H306" i="35" s="1"/>
  <c r="F310" i="35"/>
  <c r="G310" i="35" s="1"/>
  <c r="H310" i="35" s="1"/>
  <c r="F314" i="35"/>
  <c r="G314" i="35" s="1"/>
  <c r="H314" i="35" s="1"/>
  <c r="F318" i="35"/>
  <c r="G318" i="35" s="1"/>
  <c r="H318" i="35" s="1"/>
  <c r="F322" i="35"/>
  <c r="G322" i="35" s="1"/>
  <c r="H322" i="35" s="1"/>
  <c r="F326" i="35"/>
  <c r="G326" i="35" s="1"/>
  <c r="H326" i="35" s="1"/>
  <c r="F330" i="35"/>
  <c r="G330" i="35" s="1"/>
  <c r="H330" i="35" s="1"/>
  <c r="F334" i="35"/>
  <c r="G334" i="35" s="1"/>
  <c r="H334" i="35" s="1"/>
  <c r="F338" i="35"/>
  <c r="G338" i="35" s="1"/>
  <c r="H338" i="35" s="1"/>
  <c r="F343" i="35"/>
  <c r="G343" i="35" s="1"/>
  <c r="H343" i="35" s="1"/>
  <c r="F7" i="35"/>
  <c r="G7" i="35" s="1"/>
  <c r="H7" i="35" s="1"/>
  <c r="F23" i="35"/>
  <c r="G23" i="35" s="1"/>
  <c r="H23" i="35" s="1"/>
  <c r="F39" i="35"/>
  <c r="G39" i="35" s="1"/>
  <c r="H39" i="35" s="1"/>
  <c r="F55" i="35"/>
  <c r="G55" i="35" s="1"/>
  <c r="H55" i="35" s="1"/>
  <c r="F71" i="35"/>
  <c r="G71" i="35" s="1"/>
  <c r="H71" i="35" s="1"/>
  <c r="F87" i="35"/>
  <c r="G87" i="35" s="1"/>
  <c r="H87" i="35" s="1"/>
  <c r="F104" i="35"/>
  <c r="G104" i="35" s="1"/>
  <c r="H104" i="35" s="1"/>
  <c r="F120" i="35"/>
  <c r="G120" i="35" s="1"/>
  <c r="H120" i="35" s="1"/>
  <c r="F137" i="35"/>
  <c r="G137" i="35" s="1"/>
  <c r="H137" i="35" s="1"/>
  <c r="F154" i="35"/>
  <c r="G154" i="35" s="1"/>
  <c r="H154" i="35" s="1"/>
  <c r="F170" i="35"/>
  <c r="G170" i="35" s="1"/>
  <c r="H170" i="35" s="1"/>
  <c r="F186" i="35"/>
  <c r="G186" i="35" s="1"/>
  <c r="H186" i="35" s="1"/>
  <c r="F199" i="35"/>
  <c r="G199" i="35" s="1"/>
  <c r="H199" i="35" s="1"/>
  <c r="F207" i="35"/>
  <c r="G207" i="35" s="1"/>
  <c r="H207" i="35" s="1"/>
  <c r="F216" i="35"/>
  <c r="G216" i="35" s="1"/>
  <c r="H216" i="35" s="1"/>
  <c r="F224" i="35"/>
  <c r="G224" i="35" s="1"/>
  <c r="H224" i="35" s="1"/>
  <c r="F232" i="35"/>
  <c r="G232" i="35" s="1"/>
  <c r="H232" i="35" s="1"/>
  <c r="F240" i="35"/>
  <c r="G240" i="35" s="1"/>
  <c r="H240" i="35" s="1"/>
  <c r="F248" i="35"/>
  <c r="G248" i="35" s="1"/>
  <c r="H248" i="35" s="1"/>
  <c r="F256" i="35"/>
  <c r="G256" i="35" s="1"/>
  <c r="H256" i="35" s="1"/>
  <c r="F264" i="35"/>
  <c r="G264" i="35" s="1"/>
  <c r="H264" i="35" s="1"/>
  <c r="F272" i="35"/>
  <c r="G272" i="35" s="1"/>
  <c r="H272" i="35" s="1"/>
  <c r="F280" i="35"/>
  <c r="G280" i="35" s="1"/>
  <c r="H280" i="35" s="1"/>
  <c r="F288" i="35"/>
  <c r="G288" i="35" s="1"/>
  <c r="H288" i="35" s="1"/>
  <c r="F296" i="35"/>
  <c r="G296" i="35" s="1"/>
  <c r="H296" i="35" s="1"/>
  <c r="F304" i="35"/>
  <c r="G304" i="35" s="1"/>
  <c r="H304" i="35" s="1"/>
  <c r="F312" i="35"/>
  <c r="G312" i="35" s="1"/>
  <c r="H312" i="35" s="1"/>
  <c r="F320" i="35"/>
  <c r="G320" i="35" s="1"/>
  <c r="H320" i="35" s="1"/>
  <c r="F328" i="35"/>
  <c r="G328" i="35" s="1"/>
  <c r="H328" i="35" s="1"/>
  <c r="F336" i="35"/>
  <c r="G336" i="35" s="1"/>
  <c r="H336" i="35" s="1"/>
  <c r="F345" i="35"/>
  <c r="G345" i="35" s="1"/>
  <c r="H345" i="35" s="1"/>
  <c r="F350" i="35"/>
  <c r="G350" i="35" s="1"/>
  <c r="H350" i="35" s="1"/>
  <c r="F354" i="35"/>
  <c r="G354" i="35" s="1"/>
  <c r="H354" i="35" s="1"/>
  <c r="F358" i="35"/>
  <c r="G358" i="35" s="1"/>
  <c r="H358" i="35" s="1"/>
  <c r="F362" i="35"/>
  <c r="G362" i="35" s="1"/>
  <c r="H362" i="35" s="1"/>
  <c r="F367" i="35"/>
  <c r="G367" i="35" s="1"/>
  <c r="H367" i="35" s="1"/>
  <c r="F371" i="35"/>
  <c r="G371" i="35" s="1"/>
  <c r="H371" i="35" s="1"/>
  <c r="F375" i="35"/>
  <c r="G375" i="35" s="1"/>
  <c r="H375" i="35" s="1"/>
  <c r="F379" i="35"/>
  <c r="G379" i="35" s="1"/>
  <c r="H379" i="35" s="1"/>
  <c r="F383" i="35"/>
  <c r="G383" i="35" s="1"/>
  <c r="H383" i="35" s="1"/>
  <c r="F388" i="35"/>
  <c r="G388" i="35" s="1"/>
  <c r="H388" i="35" s="1"/>
  <c r="F392" i="35"/>
  <c r="G392" i="35" s="1"/>
  <c r="H392" i="35" s="1"/>
  <c r="F396" i="35"/>
  <c r="G396" i="35" s="1"/>
  <c r="H396" i="35" s="1"/>
  <c r="F400" i="35"/>
  <c r="G400" i="35" s="1"/>
  <c r="H400" i="35" s="1"/>
  <c r="F404" i="35"/>
  <c r="G404" i="35" s="1"/>
  <c r="H404" i="35" s="1"/>
  <c r="F408" i="35"/>
  <c r="G408" i="35" s="1"/>
  <c r="H408" i="35" s="1"/>
  <c r="F412" i="35"/>
  <c r="G412" i="35" s="1"/>
  <c r="H412" i="35" s="1"/>
  <c r="F416" i="35"/>
  <c r="G416" i="35" s="1"/>
  <c r="H416" i="35" s="1"/>
  <c r="F420" i="35"/>
  <c r="G420" i="35" s="1"/>
  <c r="H420" i="35" s="1"/>
  <c r="F424" i="35"/>
  <c r="G424" i="35" s="1"/>
  <c r="H424" i="35" s="1"/>
  <c r="F428" i="35"/>
  <c r="G428" i="35" s="1"/>
  <c r="H428" i="35" s="1"/>
  <c r="F432" i="35"/>
  <c r="G432" i="35" s="1"/>
  <c r="H432" i="35" s="1"/>
  <c r="F436" i="35"/>
  <c r="G436" i="35" s="1"/>
  <c r="H436" i="35" s="1"/>
  <c r="F440" i="35"/>
  <c r="G440" i="35" s="1"/>
  <c r="H440" i="35" s="1"/>
  <c r="F444" i="35"/>
  <c r="G444" i="35" s="1"/>
  <c r="H444" i="35" s="1"/>
  <c r="F448" i="35"/>
  <c r="G448" i="35" s="1"/>
  <c r="H448" i="35" s="1"/>
  <c r="F452" i="35"/>
  <c r="G452" i="35" s="1"/>
  <c r="H452" i="35" s="1"/>
  <c r="F456" i="35"/>
  <c r="G456" i="35" s="1"/>
  <c r="H456" i="35" s="1"/>
  <c r="F460" i="35"/>
  <c r="G460" i="35" s="1"/>
  <c r="H460" i="35" s="1"/>
  <c r="F464" i="35"/>
  <c r="G464" i="35" s="1"/>
  <c r="H464" i="35" s="1"/>
  <c r="F468" i="35"/>
  <c r="G468" i="35" s="1"/>
  <c r="H468" i="35" s="1"/>
  <c r="F472" i="35"/>
  <c r="G472" i="35" s="1"/>
  <c r="H472" i="35" s="1"/>
  <c r="F476" i="35"/>
  <c r="G476" i="35" s="1"/>
  <c r="H476" i="35" s="1"/>
  <c r="F480" i="35"/>
  <c r="G480" i="35" s="1"/>
  <c r="H480" i="35" s="1"/>
  <c r="F484" i="35"/>
  <c r="G484" i="35" s="1"/>
  <c r="H484" i="35" s="1"/>
  <c r="F488" i="35"/>
  <c r="G488" i="35" s="1"/>
  <c r="H488" i="35" s="1"/>
  <c r="F492" i="35"/>
  <c r="G492" i="35" s="1"/>
  <c r="H492" i="35" s="1"/>
  <c r="F496" i="35"/>
  <c r="G496" i="35" s="1"/>
  <c r="H496" i="35" s="1"/>
  <c r="F500" i="35"/>
  <c r="G500" i="35" s="1"/>
  <c r="H500" i="35" s="1"/>
  <c r="F504" i="35"/>
  <c r="G504" i="35" s="1"/>
  <c r="H504" i="35" s="1"/>
  <c r="F508" i="35"/>
  <c r="G508" i="35" s="1"/>
  <c r="H508" i="35" s="1"/>
  <c r="F512" i="35"/>
  <c r="G512" i="35" s="1"/>
  <c r="H512" i="35" s="1"/>
  <c r="F516" i="35"/>
  <c r="G516" i="35" s="1"/>
  <c r="H516" i="35" s="1"/>
  <c r="F520" i="35"/>
  <c r="G520" i="35" s="1"/>
  <c r="H520" i="35" s="1"/>
  <c r="F524" i="35"/>
  <c r="G524" i="35" s="1"/>
  <c r="H524" i="35" s="1"/>
  <c r="F528" i="35"/>
  <c r="G528" i="35" s="1"/>
  <c r="H528" i="35" s="1"/>
  <c r="F532" i="35"/>
  <c r="G532" i="35" s="1"/>
  <c r="H532" i="35" s="1"/>
  <c r="F536" i="35"/>
  <c r="G536" i="35" s="1"/>
  <c r="H536" i="35" s="1"/>
  <c r="F540" i="35"/>
  <c r="G540" i="35" s="1"/>
  <c r="H540" i="35" s="1"/>
  <c r="F544" i="35"/>
  <c r="G544" i="35" s="1"/>
  <c r="H544" i="35" s="1"/>
  <c r="F548" i="35"/>
  <c r="G548" i="35" s="1"/>
  <c r="H548" i="35" s="1"/>
  <c r="F552" i="35"/>
  <c r="G552" i="35" s="1"/>
  <c r="H552" i="35" s="1"/>
  <c r="F556" i="35"/>
  <c r="G556" i="35" s="1"/>
  <c r="H556" i="35" s="1"/>
  <c r="F560" i="35"/>
  <c r="G560" i="35" s="1"/>
  <c r="H560" i="35" s="1"/>
  <c r="F564" i="35"/>
  <c r="G564" i="35" s="1"/>
  <c r="H564" i="35" s="1"/>
  <c r="F11" i="35"/>
  <c r="G11" i="35" s="1"/>
  <c r="H11" i="35" s="1"/>
  <c r="F27" i="35"/>
  <c r="G27" i="35" s="1"/>
  <c r="H27" i="35" s="1"/>
  <c r="F43" i="35"/>
  <c r="G43" i="35" s="1"/>
  <c r="H43" i="35" s="1"/>
  <c r="F59" i="35"/>
  <c r="G59" i="35" s="1"/>
  <c r="H59" i="35" s="1"/>
  <c r="F75" i="35"/>
  <c r="G75" i="35" s="1"/>
  <c r="H75" i="35" s="1"/>
  <c r="F91" i="35"/>
  <c r="G91" i="35" s="1"/>
  <c r="H91" i="35" s="1"/>
  <c r="F108" i="35"/>
  <c r="G108" i="35" s="1"/>
  <c r="H108" i="35" s="1"/>
  <c r="F124" i="35"/>
  <c r="G124" i="35" s="1"/>
  <c r="H124" i="35" s="1"/>
  <c r="F141" i="35"/>
  <c r="G141" i="35" s="1"/>
  <c r="H141" i="35" s="1"/>
  <c r="F158" i="35"/>
  <c r="G158" i="35" s="1"/>
  <c r="H158" i="35" s="1"/>
  <c r="F174" i="35"/>
  <c r="G174" i="35" s="1"/>
  <c r="H174" i="35" s="1"/>
  <c r="F190" i="35"/>
  <c r="G190" i="35" s="1"/>
  <c r="H190" i="35" s="1"/>
  <c r="F202" i="35"/>
  <c r="G202" i="35" s="1"/>
  <c r="H202" i="35" s="1"/>
  <c r="F211" i="35"/>
  <c r="G211" i="35" s="1"/>
  <c r="H211" i="35" s="1"/>
  <c r="F219" i="35"/>
  <c r="G219" i="35" s="1"/>
  <c r="H219" i="35" s="1"/>
  <c r="F227" i="35"/>
  <c r="G227" i="35" s="1"/>
  <c r="H227" i="35" s="1"/>
  <c r="F235" i="35"/>
  <c r="G235" i="35" s="1"/>
  <c r="H235" i="35" s="1"/>
  <c r="F243" i="35"/>
  <c r="G243" i="35" s="1"/>
  <c r="H243" i="35" s="1"/>
  <c r="F251" i="35"/>
  <c r="G251" i="35" s="1"/>
  <c r="H251" i="35" s="1"/>
  <c r="F259" i="35"/>
  <c r="G259" i="35" s="1"/>
  <c r="H259" i="35" s="1"/>
  <c r="F267" i="35"/>
  <c r="G267" i="35" s="1"/>
  <c r="H267" i="35" s="1"/>
  <c r="F275" i="35"/>
  <c r="G275" i="35" s="1"/>
  <c r="H275" i="35" s="1"/>
  <c r="F283" i="35"/>
  <c r="G283" i="35" s="1"/>
  <c r="H283" i="35" s="1"/>
  <c r="F291" i="35"/>
  <c r="G291" i="35" s="1"/>
  <c r="H291" i="35" s="1"/>
  <c r="F299" i="35"/>
  <c r="G299" i="35" s="1"/>
  <c r="H299" i="35" s="1"/>
  <c r="F307" i="35"/>
  <c r="G307" i="35" s="1"/>
  <c r="H307" i="35" s="1"/>
  <c r="F315" i="35"/>
  <c r="G315" i="35" s="1"/>
  <c r="H315" i="35" s="1"/>
  <c r="F323" i="35"/>
  <c r="G323" i="35" s="1"/>
  <c r="H323" i="35" s="1"/>
  <c r="F331" i="35"/>
  <c r="G331" i="35" s="1"/>
  <c r="H331" i="35" s="1"/>
  <c r="F339" i="35"/>
  <c r="G339" i="35" s="1"/>
  <c r="H339" i="35" s="1"/>
  <c r="F346" i="35"/>
  <c r="G346" i="35" s="1"/>
  <c r="H346" i="35" s="1"/>
  <c r="F351" i="35"/>
  <c r="G351" i="35" s="1"/>
  <c r="H351" i="35" s="1"/>
  <c r="F355" i="35"/>
  <c r="G355" i="35" s="1"/>
  <c r="H355" i="35" s="1"/>
  <c r="F359" i="35"/>
  <c r="G359" i="35" s="1"/>
  <c r="H359" i="35" s="1"/>
  <c r="F364" i="35"/>
  <c r="G364" i="35" s="1"/>
  <c r="H364" i="35" s="1"/>
  <c r="F368" i="35"/>
  <c r="G368" i="35" s="1"/>
  <c r="H368" i="35" s="1"/>
  <c r="F372" i="35"/>
  <c r="G372" i="35" s="1"/>
  <c r="H372" i="35" s="1"/>
  <c r="F376" i="35"/>
  <c r="G376" i="35" s="1"/>
  <c r="H376" i="35" s="1"/>
  <c r="F380" i="35"/>
  <c r="G380" i="35" s="1"/>
  <c r="H380" i="35" s="1"/>
  <c r="F384" i="35"/>
  <c r="G384" i="35" s="1"/>
  <c r="H384" i="35" s="1"/>
  <c r="F389" i="35"/>
  <c r="G389" i="35" s="1"/>
  <c r="H389" i="35" s="1"/>
  <c r="F393" i="35"/>
  <c r="G393" i="35" s="1"/>
  <c r="H393" i="35" s="1"/>
  <c r="F397" i="35"/>
  <c r="G397" i="35" s="1"/>
  <c r="H397" i="35" s="1"/>
  <c r="F401" i="35"/>
  <c r="G401" i="35" s="1"/>
  <c r="H401" i="35" s="1"/>
  <c r="F405" i="35"/>
  <c r="G405" i="35" s="1"/>
  <c r="H405" i="35" s="1"/>
  <c r="F409" i="35"/>
  <c r="G409" i="35" s="1"/>
  <c r="H409" i="35" s="1"/>
  <c r="F413" i="35"/>
  <c r="G413" i="35" s="1"/>
  <c r="H413" i="35" s="1"/>
  <c r="F417" i="35"/>
  <c r="G417" i="35" s="1"/>
  <c r="H417" i="35" s="1"/>
  <c r="F421" i="35"/>
  <c r="G421" i="35" s="1"/>
  <c r="H421" i="35" s="1"/>
  <c r="F425" i="35"/>
  <c r="G425" i="35" s="1"/>
  <c r="H425" i="35" s="1"/>
  <c r="F429" i="35"/>
  <c r="G429" i="35" s="1"/>
  <c r="H429" i="35" s="1"/>
  <c r="F433" i="35"/>
  <c r="G433" i="35" s="1"/>
  <c r="H433" i="35" s="1"/>
  <c r="F437" i="35"/>
  <c r="G437" i="35" s="1"/>
  <c r="H437" i="35" s="1"/>
  <c r="F441" i="35"/>
  <c r="G441" i="35" s="1"/>
  <c r="H441" i="35" s="1"/>
  <c r="F445" i="35"/>
  <c r="G445" i="35" s="1"/>
  <c r="H445" i="35" s="1"/>
  <c r="F449" i="35"/>
  <c r="G449" i="35" s="1"/>
  <c r="H449" i="35" s="1"/>
  <c r="F453" i="35"/>
  <c r="G453" i="35" s="1"/>
  <c r="H453" i="35" s="1"/>
  <c r="F457" i="35"/>
  <c r="G457" i="35" s="1"/>
  <c r="H457" i="35" s="1"/>
  <c r="F461" i="35"/>
  <c r="G461" i="35" s="1"/>
  <c r="H461" i="35" s="1"/>
  <c r="F465" i="35"/>
  <c r="G465" i="35" s="1"/>
  <c r="H465" i="35" s="1"/>
  <c r="F469" i="35"/>
  <c r="G469" i="35" s="1"/>
  <c r="H469" i="35" s="1"/>
  <c r="F473" i="35"/>
  <c r="G473" i="35" s="1"/>
  <c r="H473" i="35" s="1"/>
  <c r="F477" i="35"/>
  <c r="G477" i="35" s="1"/>
  <c r="H477" i="35" s="1"/>
  <c r="F481" i="35"/>
  <c r="G481" i="35" s="1"/>
  <c r="H481" i="35" s="1"/>
  <c r="F485" i="35"/>
  <c r="G485" i="35" s="1"/>
  <c r="H485" i="35" s="1"/>
  <c r="F489" i="35"/>
  <c r="G489" i="35" s="1"/>
  <c r="H489" i="35" s="1"/>
  <c r="F493" i="35"/>
  <c r="G493" i="35" s="1"/>
  <c r="H493" i="35" s="1"/>
  <c r="F497" i="35"/>
  <c r="G497" i="35" s="1"/>
  <c r="H497" i="35" s="1"/>
  <c r="F501" i="35"/>
  <c r="G501" i="35" s="1"/>
  <c r="H501" i="35" s="1"/>
  <c r="F505" i="35"/>
  <c r="G505" i="35" s="1"/>
  <c r="H505" i="35" s="1"/>
  <c r="F509" i="35"/>
  <c r="G509" i="35" s="1"/>
  <c r="H509" i="35" s="1"/>
  <c r="F513" i="35"/>
  <c r="G513" i="35" s="1"/>
  <c r="H513" i="35" s="1"/>
  <c r="F517" i="35"/>
  <c r="G517" i="35" s="1"/>
  <c r="H517" i="35" s="1"/>
  <c r="F521" i="35"/>
  <c r="G521" i="35" s="1"/>
  <c r="H521" i="35" s="1"/>
  <c r="F525" i="35"/>
  <c r="G525" i="35" s="1"/>
  <c r="H525" i="35" s="1"/>
  <c r="F529" i="35"/>
  <c r="G529" i="35" s="1"/>
  <c r="H529" i="35" s="1"/>
  <c r="F533" i="35"/>
  <c r="G533" i="35" s="1"/>
  <c r="H533" i="35" s="1"/>
  <c r="F537" i="35"/>
  <c r="G537" i="35" s="1"/>
  <c r="H537" i="35" s="1"/>
  <c r="F541" i="35"/>
  <c r="G541" i="35" s="1"/>
  <c r="H541" i="35" s="1"/>
  <c r="F545" i="35"/>
  <c r="G545" i="35" s="1"/>
  <c r="H545" i="35" s="1"/>
  <c r="F549" i="35"/>
  <c r="G549" i="35" s="1"/>
  <c r="H549" i="35" s="1"/>
  <c r="F553" i="35"/>
  <c r="G553" i="35" s="1"/>
  <c r="H553" i="35" s="1"/>
  <c r="F557" i="35"/>
  <c r="G557" i="35" s="1"/>
  <c r="H557" i="35" s="1"/>
  <c r="F561" i="35"/>
  <c r="G561" i="35" s="1"/>
  <c r="H561" i="35" s="1"/>
  <c r="F565" i="35"/>
  <c r="G565" i="35" s="1"/>
  <c r="H565" i="35" s="1"/>
  <c r="F15" i="35"/>
  <c r="G15" i="35" s="1"/>
  <c r="H15" i="35" s="1"/>
  <c r="F47" i="35"/>
  <c r="G47" i="35" s="1"/>
  <c r="H47" i="35" s="1"/>
  <c r="F79" i="35"/>
  <c r="G79" i="35" s="1"/>
  <c r="H79" i="35" s="1"/>
  <c r="F112" i="35"/>
  <c r="G112" i="35" s="1"/>
  <c r="H112" i="35" s="1"/>
  <c r="F146" i="35"/>
  <c r="G146" i="35" s="1"/>
  <c r="H146" i="35" s="1"/>
  <c r="F178" i="35"/>
  <c r="G178" i="35" s="1"/>
  <c r="H178" i="35" s="1"/>
  <c r="F203" i="35"/>
  <c r="G203" i="35" s="1"/>
  <c r="H203" i="35" s="1"/>
  <c r="F220" i="35"/>
  <c r="G220" i="35" s="1"/>
  <c r="H220" i="35" s="1"/>
  <c r="F236" i="35"/>
  <c r="G236" i="35" s="1"/>
  <c r="H236" i="35" s="1"/>
  <c r="F252" i="35"/>
  <c r="G252" i="35" s="1"/>
  <c r="H252" i="35" s="1"/>
  <c r="F268" i="35"/>
  <c r="G268" i="35" s="1"/>
  <c r="H268" i="35" s="1"/>
  <c r="F284" i="35"/>
  <c r="G284" i="35" s="1"/>
  <c r="H284" i="35" s="1"/>
  <c r="F300" i="35"/>
  <c r="G300" i="35" s="1"/>
  <c r="H300" i="35" s="1"/>
  <c r="F316" i="35"/>
  <c r="G316" i="35" s="1"/>
  <c r="H316" i="35" s="1"/>
  <c r="F332" i="35"/>
  <c r="G332" i="35" s="1"/>
  <c r="H332" i="35" s="1"/>
  <c r="F347" i="35"/>
  <c r="G347" i="35" s="1"/>
  <c r="H347" i="35" s="1"/>
  <c r="F356" i="35"/>
  <c r="G356" i="35" s="1"/>
  <c r="H356" i="35" s="1"/>
  <c r="F365" i="35"/>
  <c r="G365" i="35" s="1"/>
  <c r="H365" i="35" s="1"/>
  <c r="F373" i="35"/>
  <c r="G373" i="35" s="1"/>
  <c r="H373" i="35" s="1"/>
  <c r="F381" i="35"/>
  <c r="G381" i="35" s="1"/>
  <c r="H381" i="35" s="1"/>
  <c r="F390" i="35"/>
  <c r="G390" i="35" s="1"/>
  <c r="H390" i="35" s="1"/>
  <c r="F398" i="35"/>
  <c r="G398" i="35" s="1"/>
  <c r="H398" i="35" s="1"/>
  <c r="F406" i="35"/>
  <c r="G406" i="35" s="1"/>
  <c r="H406" i="35" s="1"/>
  <c r="F414" i="35"/>
  <c r="G414" i="35" s="1"/>
  <c r="H414" i="35" s="1"/>
  <c r="F422" i="35"/>
  <c r="G422" i="35" s="1"/>
  <c r="H422" i="35" s="1"/>
  <c r="F430" i="35"/>
  <c r="G430" i="35" s="1"/>
  <c r="H430" i="35" s="1"/>
  <c r="F438" i="35"/>
  <c r="G438" i="35" s="1"/>
  <c r="H438" i="35" s="1"/>
  <c r="F446" i="35"/>
  <c r="G446" i="35" s="1"/>
  <c r="H446" i="35" s="1"/>
  <c r="F454" i="35"/>
  <c r="G454" i="35" s="1"/>
  <c r="H454" i="35" s="1"/>
  <c r="F462" i="35"/>
  <c r="G462" i="35" s="1"/>
  <c r="H462" i="35" s="1"/>
  <c r="F470" i="35"/>
  <c r="G470" i="35" s="1"/>
  <c r="H470" i="35" s="1"/>
  <c r="F478" i="35"/>
  <c r="G478" i="35" s="1"/>
  <c r="H478" i="35" s="1"/>
  <c r="F486" i="35"/>
  <c r="G486" i="35" s="1"/>
  <c r="H486" i="35" s="1"/>
  <c r="F494" i="35"/>
  <c r="G494" i="35" s="1"/>
  <c r="H494" i="35" s="1"/>
  <c r="F502" i="35"/>
  <c r="G502" i="35" s="1"/>
  <c r="H502" i="35" s="1"/>
  <c r="F510" i="35"/>
  <c r="G510" i="35" s="1"/>
  <c r="H510" i="35" s="1"/>
  <c r="F518" i="35"/>
  <c r="G518" i="35" s="1"/>
  <c r="H518" i="35" s="1"/>
  <c r="F526" i="35"/>
  <c r="G526" i="35" s="1"/>
  <c r="H526" i="35" s="1"/>
  <c r="F534" i="35"/>
  <c r="G534" i="35" s="1"/>
  <c r="H534" i="35" s="1"/>
  <c r="F542" i="35"/>
  <c r="G542" i="35" s="1"/>
  <c r="H542" i="35" s="1"/>
  <c r="F550" i="35"/>
  <c r="G550" i="35" s="1"/>
  <c r="H550" i="35" s="1"/>
  <c r="F558" i="35"/>
  <c r="G558" i="35" s="1"/>
  <c r="H558" i="35" s="1"/>
  <c r="F566" i="35"/>
  <c r="G566" i="35" s="1"/>
  <c r="H566" i="35" s="1"/>
  <c r="F570" i="35"/>
  <c r="G570" i="35" s="1"/>
  <c r="H570" i="35" s="1"/>
  <c r="F574" i="35"/>
  <c r="G574" i="35" s="1"/>
  <c r="H574" i="35" s="1"/>
  <c r="F578" i="35"/>
  <c r="G578" i="35" s="1"/>
  <c r="H578" i="35" s="1"/>
  <c r="F582" i="35"/>
  <c r="G582" i="35" s="1"/>
  <c r="H582" i="35" s="1"/>
  <c r="F586" i="35"/>
  <c r="G586" i="35" s="1"/>
  <c r="H586" i="35" s="1"/>
  <c r="F590" i="35"/>
  <c r="G590" i="35" s="1"/>
  <c r="H590" i="35" s="1"/>
  <c r="F594" i="35"/>
  <c r="G594" i="35" s="1"/>
  <c r="H594" i="35" s="1"/>
  <c r="F598" i="35"/>
  <c r="G598" i="35" s="1"/>
  <c r="H598" i="35" s="1"/>
  <c r="F602" i="35"/>
  <c r="G602" i="35" s="1"/>
  <c r="H602" i="35" s="1"/>
  <c r="F606" i="35"/>
  <c r="G606" i="35" s="1"/>
  <c r="H606" i="35" s="1"/>
  <c r="F610" i="35"/>
  <c r="G610" i="35" s="1"/>
  <c r="H610" i="35" s="1"/>
  <c r="F614" i="35"/>
  <c r="G614" i="35" s="1"/>
  <c r="H614" i="35" s="1"/>
  <c r="F618" i="35"/>
  <c r="G618" i="35" s="1"/>
  <c r="H618" i="35" s="1"/>
  <c r="F622" i="35"/>
  <c r="G622" i="35" s="1"/>
  <c r="H622" i="35" s="1"/>
  <c r="F626" i="35"/>
  <c r="G626" i="35" s="1"/>
  <c r="H626" i="35" s="1"/>
  <c r="F630" i="35"/>
  <c r="G630" i="35" s="1"/>
  <c r="H630" i="35" s="1"/>
  <c r="F634" i="35"/>
  <c r="G634" i="35" s="1"/>
  <c r="H634" i="35" s="1"/>
  <c r="F638" i="35"/>
  <c r="G638" i="35" s="1"/>
  <c r="H638" i="35" s="1"/>
  <c r="F642" i="35"/>
  <c r="G642" i="35" s="1"/>
  <c r="H642" i="35" s="1"/>
  <c r="F646" i="35"/>
  <c r="G646" i="35" s="1"/>
  <c r="H646" i="35" s="1"/>
  <c r="F650" i="35"/>
  <c r="G650" i="35" s="1"/>
  <c r="H650" i="35" s="1"/>
  <c r="F654" i="35"/>
  <c r="G654" i="35" s="1"/>
  <c r="H654" i="35" s="1"/>
  <c r="F658" i="35"/>
  <c r="G658" i="35" s="1"/>
  <c r="H658" i="35" s="1"/>
  <c r="F662" i="35"/>
  <c r="G662" i="35" s="1"/>
  <c r="H662" i="35" s="1"/>
  <c r="F666" i="35"/>
  <c r="G666" i="35" s="1"/>
  <c r="H666" i="35" s="1"/>
  <c r="F670" i="35"/>
  <c r="G670" i="35" s="1"/>
  <c r="H670" i="35" s="1"/>
  <c r="F674" i="35"/>
  <c r="G674" i="35" s="1"/>
  <c r="H674" i="35" s="1"/>
  <c r="F679" i="35"/>
  <c r="G679" i="35" s="1"/>
  <c r="H679" i="35" s="1"/>
  <c r="F683" i="35"/>
  <c r="G683" i="35" s="1"/>
  <c r="H683" i="35" s="1"/>
  <c r="F687" i="35"/>
  <c r="G687" i="35" s="1"/>
  <c r="H687" i="35" s="1"/>
  <c r="F691" i="35"/>
  <c r="G691" i="35" s="1"/>
  <c r="H691" i="35" s="1"/>
  <c r="F696" i="35"/>
  <c r="G696" i="35" s="1"/>
  <c r="H696" i="35" s="1"/>
  <c r="F700" i="35"/>
  <c r="G700" i="35" s="1"/>
  <c r="H700" i="35" s="1"/>
  <c r="F704" i="35"/>
  <c r="G704" i="35" s="1"/>
  <c r="H704" i="35" s="1"/>
  <c r="F31" i="35"/>
  <c r="G31" i="35" s="1"/>
  <c r="H31" i="35" s="1"/>
  <c r="F128" i="35"/>
  <c r="G128" i="35" s="1"/>
  <c r="H128" i="35" s="1"/>
  <c r="F194" i="35"/>
  <c r="G194" i="35" s="1"/>
  <c r="H194" i="35" s="1"/>
  <c r="F228" i="35"/>
  <c r="G228" i="35" s="1"/>
  <c r="H228" i="35" s="1"/>
  <c r="F260" i="35"/>
  <c r="G260" i="35" s="1"/>
  <c r="H260" i="35" s="1"/>
  <c r="F292" i="35"/>
  <c r="G292" i="35" s="1"/>
  <c r="H292" i="35" s="1"/>
  <c r="F324" i="35"/>
  <c r="G324" i="35" s="1"/>
  <c r="H324" i="35" s="1"/>
  <c r="F352" i="35"/>
  <c r="G352" i="35" s="1"/>
  <c r="H352" i="35" s="1"/>
  <c r="F19" i="35"/>
  <c r="G19" i="35" s="1"/>
  <c r="H19" i="35" s="1"/>
  <c r="F51" i="35"/>
  <c r="G51" i="35" s="1"/>
  <c r="H51" i="35" s="1"/>
  <c r="F83" i="35"/>
  <c r="G83" i="35" s="1"/>
  <c r="H83" i="35" s="1"/>
  <c r="F116" i="35"/>
  <c r="G116" i="35" s="1"/>
  <c r="H116" i="35" s="1"/>
  <c r="F150" i="35"/>
  <c r="G150" i="35" s="1"/>
  <c r="H150" i="35" s="1"/>
  <c r="F182" i="35"/>
  <c r="G182" i="35" s="1"/>
  <c r="H182" i="35" s="1"/>
  <c r="F206" i="35"/>
  <c r="G206" i="35" s="1"/>
  <c r="H206" i="35" s="1"/>
  <c r="F223" i="35"/>
  <c r="G223" i="35" s="1"/>
  <c r="H223" i="35" s="1"/>
  <c r="F239" i="35"/>
  <c r="G239" i="35" s="1"/>
  <c r="H239" i="35" s="1"/>
  <c r="F255" i="35"/>
  <c r="G255" i="35" s="1"/>
  <c r="H255" i="35" s="1"/>
  <c r="F271" i="35"/>
  <c r="G271" i="35" s="1"/>
  <c r="H271" i="35" s="1"/>
  <c r="F287" i="35"/>
  <c r="G287" i="35" s="1"/>
  <c r="H287" i="35" s="1"/>
  <c r="F303" i="35"/>
  <c r="G303" i="35" s="1"/>
  <c r="H303" i="35" s="1"/>
  <c r="F319" i="35"/>
  <c r="G319" i="35" s="1"/>
  <c r="H319" i="35" s="1"/>
  <c r="F335" i="35"/>
  <c r="G335" i="35" s="1"/>
  <c r="H335" i="35" s="1"/>
  <c r="F349" i="35"/>
  <c r="G349" i="35" s="1"/>
  <c r="H349" i="35" s="1"/>
  <c r="F357" i="35"/>
  <c r="G357" i="35" s="1"/>
  <c r="H357" i="35" s="1"/>
  <c r="F366" i="35"/>
  <c r="G366" i="35" s="1"/>
  <c r="H366" i="35" s="1"/>
  <c r="F374" i="35"/>
  <c r="G374" i="35" s="1"/>
  <c r="H374" i="35" s="1"/>
  <c r="F382" i="35"/>
  <c r="G382" i="35" s="1"/>
  <c r="H382" i="35" s="1"/>
  <c r="F391" i="35"/>
  <c r="G391" i="35" s="1"/>
  <c r="H391" i="35" s="1"/>
  <c r="F399" i="35"/>
  <c r="G399" i="35" s="1"/>
  <c r="H399" i="35" s="1"/>
  <c r="F407" i="35"/>
  <c r="G407" i="35" s="1"/>
  <c r="H407" i="35" s="1"/>
  <c r="F415" i="35"/>
  <c r="G415" i="35" s="1"/>
  <c r="H415" i="35" s="1"/>
  <c r="F423" i="35"/>
  <c r="G423" i="35" s="1"/>
  <c r="H423" i="35" s="1"/>
  <c r="F431" i="35"/>
  <c r="G431" i="35" s="1"/>
  <c r="H431" i="35" s="1"/>
  <c r="F439" i="35"/>
  <c r="G439" i="35" s="1"/>
  <c r="H439" i="35" s="1"/>
  <c r="F447" i="35"/>
  <c r="G447" i="35" s="1"/>
  <c r="H447" i="35" s="1"/>
  <c r="F455" i="35"/>
  <c r="G455" i="35" s="1"/>
  <c r="H455" i="35" s="1"/>
  <c r="F463" i="35"/>
  <c r="G463" i="35" s="1"/>
  <c r="H463" i="35" s="1"/>
  <c r="F471" i="35"/>
  <c r="G471" i="35" s="1"/>
  <c r="H471" i="35" s="1"/>
  <c r="F479" i="35"/>
  <c r="G479" i="35" s="1"/>
  <c r="H479" i="35" s="1"/>
  <c r="F487" i="35"/>
  <c r="G487" i="35" s="1"/>
  <c r="H487" i="35" s="1"/>
  <c r="F495" i="35"/>
  <c r="G495" i="35" s="1"/>
  <c r="H495" i="35" s="1"/>
  <c r="F503" i="35"/>
  <c r="G503" i="35" s="1"/>
  <c r="H503" i="35" s="1"/>
  <c r="F511" i="35"/>
  <c r="G511" i="35" s="1"/>
  <c r="H511" i="35" s="1"/>
  <c r="F519" i="35"/>
  <c r="G519" i="35" s="1"/>
  <c r="H519" i="35" s="1"/>
  <c r="F527" i="35"/>
  <c r="G527" i="35" s="1"/>
  <c r="H527" i="35" s="1"/>
  <c r="F535" i="35"/>
  <c r="G535" i="35" s="1"/>
  <c r="H535" i="35" s="1"/>
  <c r="F543" i="35"/>
  <c r="G543" i="35" s="1"/>
  <c r="H543" i="35" s="1"/>
  <c r="F551" i="35"/>
  <c r="G551" i="35" s="1"/>
  <c r="H551" i="35" s="1"/>
  <c r="F559" i="35"/>
  <c r="G559" i="35" s="1"/>
  <c r="H559" i="35" s="1"/>
  <c r="F567" i="35"/>
  <c r="G567" i="35" s="1"/>
  <c r="H567" i="35" s="1"/>
  <c r="F571" i="35"/>
  <c r="G571" i="35" s="1"/>
  <c r="H571" i="35" s="1"/>
  <c r="F575" i="35"/>
  <c r="G575" i="35" s="1"/>
  <c r="H575" i="35" s="1"/>
  <c r="F579" i="35"/>
  <c r="G579" i="35" s="1"/>
  <c r="H579" i="35" s="1"/>
  <c r="F583" i="35"/>
  <c r="G583" i="35" s="1"/>
  <c r="H583" i="35" s="1"/>
  <c r="F587" i="35"/>
  <c r="G587" i="35" s="1"/>
  <c r="H587" i="35" s="1"/>
  <c r="F591" i="35"/>
  <c r="G591" i="35" s="1"/>
  <c r="H591" i="35" s="1"/>
  <c r="F595" i="35"/>
  <c r="G595" i="35" s="1"/>
  <c r="H595" i="35" s="1"/>
  <c r="F599" i="35"/>
  <c r="G599" i="35" s="1"/>
  <c r="H599" i="35" s="1"/>
  <c r="F603" i="35"/>
  <c r="G603" i="35" s="1"/>
  <c r="H603" i="35" s="1"/>
  <c r="F607" i="35"/>
  <c r="G607" i="35" s="1"/>
  <c r="H607" i="35" s="1"/>
  <c r="F611" i="35"/>
  <c r="G611" i="35" s="1"/>
  <c r="H611" i="35" s="1"/>
  <c r="F615" i="35"/>
  <c r="G615" i="35" s="1"/>
  <c r="H615" i="35" s="1"/>
  <c r="F619" i="35"/>
  <c r="G619" i="35" s="1"/>
  <c r="H619" i="35" s="1"/>
  <c r="F623" i="35"/>
  <c r="G623" i="35" s="1"/>
  <c r="H623" i="35" s="1"/>
  <c r="F627" i="35"/>
  <c r="G627" i="35" s="1"/>
  <c r="H627" i="35" s="1"/>
  <c r="F631" i="35"/>
  <c r="G631" i="35" s="1"/>
  <c r="H631" i="35" s="1"/>
  <c r="F635" i="35"/>
  <c r="G635" i="35" s="1"/>
  <c r="H635" i="35" s="1"/>
  <c r="F639" i="35"/>
  <c r="G639" i="35" s="1"/>
  <c r="H639" i="35" s="1"/>
  <c r="F643" i="35"/>
  <c r="G643" i="35" s="1"/>
  <c r="H643" i="35" s="1"/>
  <c r="F647" i="35"/>
  <c r="G647" i="35" s="1"/>
  <c r="H647" i="35" s="1"/>
  <c r="F651" i="35"/>
  <c r="G651" i="35" s="1"/>
  <c r="H651" i="35" s="1"/>
  <c r="F655" i="35"/>
  <c r="G655" i="35" s="1"/>
  <c r="H655" i="35" s="1"/>
  <c r="F659" i="35"/>
  <c r="G659" i="35" s="1"/>
  <c r="H659" i="35" s="1"/>
  <c r="F663" i="35"/>
  <c r="G663" i="35" s="1"/>
  <c r="H663" i="35" s="1"/>
  <c r="F667" i="35"/>
  <c r="G667" i="35" s="1"/>
  <c r="H667" i="35" s="1"/>
  <c r="F671" i="35"/>
  <c r="G671" i="35" s="1"/>
  <c r="H671" i="35" s="1"/>
  <c r="F675" i="35"/>
  <c r="G675" i="35" s="1"/>
  <c r="H675" i="35" s="1"/>
  <c r="F680" i="35"/>
  <c r="G680" i="35" s="1"/>
  <c r="H680" i="35" s="1"/>
  <c r="F684" i="35"/>
  <c r="G684" i="35" s="1"/>
  <c r="H684" i="35" s="1"/>
  <c r="F688" i="35"/>
  <c r="G688" i="35" s="1"/>
  <c r="H688" i="35" s="1"/>
  <c r="F692" i="35"/>
  <c r="G692" i="35" s="1"/>
  <c r="H692" i="35" s="1"/>
  <c r="F697" i="35"/>
  <c r="G697" i="35" s="1"/>
  <c r="H697" i="35" s="1"/>
  <c r="F701" i="35"/>
  <c r="G701" i="35" s="1"/>
  <c r="H701" i="35" s="1"/>
  <c r="F705" i="35"/>
  <c r="G705" i="35" s="1"/>
  <c r="H705" i="35" s="1"/>
  <c r="F63" i="35"/>
  <c r="G63" i="35" s="1"/>
  <c r="H63" i="35" s="1"/>
  <c r="F95" i="35"/>
  <c r="G95" i="35" s="1"/>
  <c r="H95" i="35" s="1"/>
  <c r="F162" i="35"/>
  <c r="G162" i="35" s="1"/>
  <c r="H162" i="35" s="1"/>
  <c r="F212" i="35"/>
  <c r="G212" i="35" s="1"/>
  <c r="H212" i="35" s="1"/>
  <c r="F244" i="35"/>
  <c r="G244" i="35" s="1"/>
  <c r="H244" i="35" s="1"/>
  <c r="F276" i="35"/>
  <c r="G276" i="35" s="1"/>
  <c r="H276" i="35" s="1"/>
  <c r="F308" i="35"/>
  <c r="G308" i="35" s="1"/>
  <c r="H308" i="35" s="1"/>
  <c r="F340" i="35"/>
  <c r="G340" i="35" s="1"/>
  <c r="H340" i="35" s="1"/>
  <c r="F35" i="35"/>
  <c r="G35" i="35" s="1"/>
  <c r="H35" i="35" s="1"/>
  <c r="F166" i="35"/>
  <c r="G166" i="35" s="1"/>
  <c r="H166" i="35" s="1"/>
  <c r="F247" i="35"/>
  <c r="G247" i="35" s="1"/>
  <c r="H247" i="35" s="1"/>
  <c r="F311" i="35"/>
  <c r="G311" i="35" s="1"/>
  <c r="H311" i="35" s="1"/>
  <c r="F360" i="35"/>
  <c r="G360" i="35" s="1"/>
  <c r="H360" i="35" s="1"/>
  <c r="F377" i="35"/>
  <c r="G377" i="35" s="1"/>
  <c r="H377" i="35" s="1"/>
  <c r="F394" i="35"/>
  <c r="G394" i="35" s="1"/>
  <c r="H394" i="35" s="1"/>
  <c r="F410" i="35"/>
  <c r="G410" i="35" s="1"/>
  <c r="H410" i="35" s="1"/>
  <c r="F426" i="35"/>
  <c r="G426" i="35" s="1"/>
  <c r="H426" i="35" s="1"/>
  <c r="F442" i="35"/>
  <c r="G442" i="35" s="1"/>
  <c r="H442" i="35" s="1"/>
  <c r="F458" i="35"/>
  <c r="G458" i="35" s="1"/>
  <c r="H458" i="35" s="1"/>
  <c r="F474" i="35"/>
  <c r="G474" i="35" s="1"/>
  <c r="H474" i="35" s="1"/>
  <c r="F490" i="35"/>
  <c r="G490" i="35" s="1"/>
  <c r="H490" i="35" s="1"/>
  <c r="F506" i="35"/>
  <c r="G506" i="35" s="1"/>
  <c r="H506" i="35" s="1"/>
  <c r="F522" i="35"/>
  <c r="G522" i="35" s="1"/>
  <c r="H522" i="35" s="1"/>
  <c r="F538" i="35"/>
  <c r="G538" i="35" s="1"/>
  <c r="H538" i="35" s="1"/>
  <c r="F554" i="35"/>
  <c r="G554" i="35" s="1"/>
  <c r="H554" i="35" s="1"/>
  <c r="F568" i="35"/>
  <c r="G568" i="35" s="1"/>
  <c r="H568" i="35" s="1"/>
  <c r="F576" i="35"/>
  <c r="G576" i="35" s="1"/>
  <c r="H576" i="35" s="1"/>
  <c r="F584" i="35"/>
  <c r="G584" i="35" s="1"/>
  <c r="H584" i="35" s="1"/>
  <c r="F592" i="35"/>
  <c r="G592" i="35" s="1"/>
  <c r="H592" i="35" s="1"/>
  <c r="F600" i="35"/>
  <c r="G600" i="35" s="1"/>
  <c r="H600" i="35" s="1"/>
  <c r="F608" i="35"/>
  <c r="G608" i="35" s="1"/>
  <c r="H608" i="35" s="1"/>
  <c r="F616" i="35"/>
  <c r="G616" i="35" s="1"/>
  <c r="H616" i="35" s="1"/>
  <c r="F624" i="35"/>
  <c r="G624" i="35" s="1"/>
  <c r="H624" i="35" s="1"/>
  <c r="F632" i="35"/>
  <c r="G632" i="35" s="1"/>
  <c r="H632" i="35" s="1"/>
  <c r="F640" i="35"/>
  <c r="G640" i="35" s="1"/>
  <c r="H640" i="35" s="1"/>
  <c r="F648" i="35"/>
  <c r="G648" i="35" s="1"/>
  <c r="H648" i="35" s="1"/>
  <c r="F656" i="35"/>
  <c r="G656" i="35" s="1"/>
  <c r="H656" i="35" s="1"/>
  <c r="F664" i="35"/>
  <c r="G664" i="35" s="1"/>
  <c r="H664" i="35" s="1"/>
  <c r="F672" i="35"/>
  <c r="G672" i="35" s="1"/>
  <c r="H672" i="35" s="1"/>
  <c r="F681" i="35"/>
  <c r="G681" i="35" s="1"/>
  <c r="H681" i="35" s="1"/>
  <c r="F689" i="35"/>
  <c r="G689" i="35" s="1"/>
  <c r="H689" i="35" s="1"/>
  <c r="F698" i="35"/>
  <c r="G698" i="35" s="1"/>
  <c r="H698" i="35" s="1"/>
  <c r="F215" i="35"/>
  <c r="G215" i="35" s="1"/>
  <c r="H215" i="35" s="1"/>
  <c r="F279" i="35"/>
  <c r="G279" i="35" s="1"/>
  <c r="H279" i="35" s="1"/>
  <c r="F369" i="35"/>
  <c r="G369" i="35" s="1"/>
  <c r="H369" i="35" s="1"/>
  <c r="F418" i="35"/>
  <c r="G418" i="35" s="1"/>
  <c r="H418" i="35" s="1"/>
  <c r="F450" i="35"/>
  <c r="G450" i="35" s="1"/>
  <c r="H450" i="35" s="1"/>
  <c r="F482" i="35"/>
  <c r="G482" i="35" s="1"/>
  <c r="H482" i="35" s="1"/>
  <c r="F514" i="35"/>
  <c r="G514" i="35" s="1"/>
  <c r="H514" i="35" s="1"/>
  <c r="F546" i="35"/>
  <c r="G546" i="35" s="1"/>
  <c r="H546" i="35" s="1"/>
  <c r="F572" i="35"/>
  <c r="G572" i="35" s="1"/>
  <c r="H572" i="35" s="1"/>
  <c r="F588" i="35"/>
  <c r="G588" i="35" s="1"/>
  <c r="H588" i="35" s="1"/>
  <c r="F604" i="35"/>
  <c r="G604" i="35" s="1"/>
  <c r="H604" i="35" s="1"/>
  <c r="F620" i="35"/>
  <c r="G620" i="35" s="1"/>
  <c r="H620" i="35" s="1"/>
  <c r="F636" i="35"/>
  <c r="G636" i="35" s="1"/>
  <c r="H636" i="35" s="1"/>
  <c r="F652" i="35"/>
  <c r="G652" i="35" s="1"/>
  <c r="H652" i="35" s="1"/>
  <c r="F668" i="35"/>
  <c r="G668" i="35" s="1"/>
  <c r="H668" i="35" s="1"/>
  <c r="F685" i="35"/>
  <c r="G685" i="35" s="1"/>
  <c r="H685" i="35" s="1"/>
  <c r="F702" i="35"/>
  <c r="G702" i="35" s="1"/>
  <c r="H702" i="35" s="1"/>
  <c r="F231" i="35"/>
  <c r="G231" i="35" s="1"/>
  <c r="H231" i="35" s="1"/>
  <c r="F353" i="35"/>
  <c r="G353" i="35" s="1"/>
  <c r="H353" i="35" s="1"/>
  <c r="F387" i="35"/>
  <c r="G387" i="35" s="1"/>
  <c r="H387" i="35" s="1"/>
  <c r="F419" i="35"/>
  <c r="G419" i="35" s="1"/>
  <c r="H419" i="35" s="1"/>
  <c r="F451" i="35"/>
  <c r="G451" i="35" s="1"/>
  <c r="H451" i="35" s="1"/>
  <c r="F483" i="35"/>
  <c r="G483" i="35" s="1"/>
  <c r="H483" i="35" s="1"/>
  <c r="F515" i="35"/>
  <c r="G515" i="35" s="1"/>
  <c r="H515" i="35" s="1"/>
  <c r="F547" i="35"/>
  <c r="G547" i="35" s="1"/>
  <c r="H547" i="35" s="1"/>
  <c r="F573" i="35"/>
  <c r="G573" i="35" s="1"/>
  <c r="H573" i="35" s="1"/>
  <c r="F589" i="35"/>
  <c r="G589" i="35" s="1"/>
  <c r="H589" i="35" s="1"/>
  <c r="F605" i="35"/>
  <c r="G605" i="35" s="1"/>
  <c r="H605" i="35" s="1"/>
  <c r="F621" i="35"/>
  <c r="G621" i="35" s="1"/>
  <c r="H621" i="35" s="1"/>
  <c r="F637" i="35"/>
  <c r="G637" i="35" s="1"/>
  <c r="H637" i="35" s="1"/>
  <c r="F653" i="35"/>
  <c r="G653" i="35" s="1"/>
  <c r="H653" i="35" s="1"/>
  <c r="F669" i="35"/>
  <c r="G669" i="35" s="1"/>
  <c r="H669" i="35" s="1"/>
  <c r="F686" i="35"/>
  <c r="G686" i="35" s="1"/>
  <c r="H686" i="35" s="1"/>
  <c r="F703" i="35"/>
  <c r="G703" i="35" s="1"/>
  <c r="H703" i="35" s="1"/>
  <c r="F67" i="35"/>
  <c r="G67" i="35" s="1"/>
  <c r="H67" i="35" s="1"/>
  <c r="F198" i="35"/>
  <c r="G198" i="35" s="1"/>
  <c r="H198" i="35" s="1"/>
  <c r="F263" i="35"/>
  <c r="G263" i="35" s="1"/>
  <c r="H263" i="35" s="1"/>
  <c r="F327" i="35"/>
  <c r="G327" i="35" s="1"/>
  <c r="H327" i="35" s="1"/>
  <c r="F361" i="35"/>
  <c r="G361" i="35" s="1"/>
  <c r="H361" i="35" s="1"/>
  <c r="F378" i="35"/>
  <c r="G378" i="35" s="1"/>
  <c r="H378" i="35" s="1"/>
  <c r="F395" i="35"/>
  <c r="G395" i="35" s="1"/>
  <c r="H395" i="35" s="1"/>
  <c r="F411" i="35"/>
  <c r="G411" i="35" s="1"/>
  <c r="H411" i="35" s="1"/>
  <c r="F427" i="35"/>
  <c r="G427" i="35" s="1"/>
  <c r="H427" i="35" s="1"/>
  <c r="F443" i="35"/>
  <c r="G443" i="35" s="1"/>
  <c r="H443" i="35" s="1"/>
  <c r="F459" i="35"/>
  <c r="G459" i="35" s="1"/>
  <c r="H459" i="35" s="1"/>
  <c r="F475" i="35"/>
  <c r="G475" i="35" s="1"/>
  <c r="H475" i="35" s="1"/>
  <c r="F491" i="35"/>
  <c r="G491" i="35" s="1"/>
  <c r="H491" i="35" s="1"/>
  <c r="F507" i="35"/>
  <c r="G507" i="35" s="1"/>
  <c r="H507" i="35" s="1"/>
  <c r="F523" i="35"/>
  <c r="G523" i="35" s="1"/>
  <c r="H523" i="35" s="1"/>
  <c r="F539" i="35"/>
  <c r="G539" i="35" s="1"/>
  <c r="H539" i="35" s="1"/>
  <c r="F555" i="35"/>
  <c r="G555" i="35" s="1"/>
  <c r="H555" i="35" s="1"/>
  <c r="F569" i="35"/>
  <c r="G569" i="35" s="1"/>
  <c r="H569" i="35" s="1"/>
  <c r="F577" i="35"/>
  <c r="G577" i="35" s="1"/>
  <c r="H577" i="35" s="1"/>
  <c r="F585" i="35"/>
  <c r="G585" i="35" s="1"/>
  <c r="H585" i="35" s="1"/>
  <c r="F593" i="35"/>
  <c r="G593" i="35" s="1"/>
  <c r="H593" i="35" s="1"/>
  <c r="F601" i="35"/>
  <c r="G601" i="35" s="1"/>
  <c r="H601" i="35" s="1"/>
  <c r="F609" i="35"/>
  <c r="G609" i="35" s="1"/>
  <c r="H609" i="35" s="1"/>
  <c r="F617" i="35"/>
  <c r="G617" i="35" s="1"/>
  <c r="H617" i="35" s="1"/>
  <c r="F625" i="35"/>
  <c r="G625" i="35" s="1"/>
  <c r="H625" i="35" s="1"/>
  <c r="F633" i="35"/>
  <c r="G633" i="35" s="1"/>
  <c r="H633" i="35" s="1"/>
  <c r="F641" i="35"/>
  <c r="G641" i="35" s="1"/>
  <c r="H641" i="35" s="1"/>
  <c r="F649" i="35"/>
  <c r="G649" i="35" s="1"/>
  <c r="H649" i="35" s="1"/>
  <c r="F657" i="35"/>
  <c r="G657" i="35" s="1"/>
  <c r="H657" i="35" s="1"/>
  <c r="F665" i="35"/>
  <c r="G665" i="35" s="1"/>
  <c r="H665" i="35" s="1"/>
  <c r="F673" i="35"/>
  <c r="G673" i="35" s="1"/>
  <c r="H673" i="35" s="1"/>
  <c r="F682" i="35"/>
  <c r="G682" i="35" s="1"/>
  <c r="H682" i="35" s="1"/>
  <c r="F690" i="35"/>
  <c r="G690" i="35" s="1"/>
  <c r="H690" i="35" s="1"/>
  <c r="F699" i="35"/>
  <c r="G699" i="35" s="1"/>
  <c r="H699" i="35" s="1"/>
  <c r="F100" i="35"/>
  <c r="G100" i="35" s="1"/>
  <c r="H100" i="35" s="1"/>
  <c r="F344" i="35"/>
  <c r="G344" i="35" s="1"/>
  <c r="H344" i="35" s="1"/>
  <c r="F385" i="35"/>
  <c r="G385" i="35" s="1"/>
  <c r="H385" i="35" s="1"/>
  <c r="F402" i="35"/>
  <c r="G402" i="35" s="1"/>
  <c r="H402" i="35" s="1"/>
  <c r="F434" i="35"/>
  <c r="G434" i="35" s="1"/>
  <c r="H434" i="35" s="1"/>
  <c r="F466" i="35"/>
  <c r="G466" i="35" s="1"/>
  <c r="H466" i="35" s="1"/>
  <c r="F498" i="35"/>
  <c r="G498" i="35" s="1"/>
  <c r="H498" i="35" s="1"/>
  <c r="F530" i="35"/>
  <c r="G530" i="35" s="1"/>
  <c r="H530" i="35" s="1"/>
  <c r="F562" i="35"/>
  <c r="G562" i="35" s="1"/>
  <c r="H562" i="35" s="1"/>
  <c r="F580" i="35"/>
  <c r="G580" i="35" s="1"/>
  <c r="H580" i="35" s="1"/>
  <c r="F596" i="35"/>
  <c r="G596" i="35" s="1"/>
  <c r="H596" i="35" s="1"/>
  <c r="F612" i="35"/>
  <c r="G612" i="35" s="1"/>
  <c r="H612" i="35" s="1"/>
  <c r="F628" i="35"/>
  <c r="G628" i="35" s="1"/>
  <c r="H628" i="35" s="1"/>
  <c r="F644" i="35"/>
  <c r="G644" i="35" s="1"/>
  <c r="H644" i="35" s="1"/>
  <c r="F660" i="35"/>
  <c r="G660" i="35" s="1"/>
  <c r="H660" i="35" s="1"/>
  <c r="F676" i="35"/>
  <c r="G676" i="35" s="1"/>
  <c r="H676" i="35" s="1"/>
  <c r="F693" i="35"/>
  <c r="G693" i="35" s="1"/>
  <c r="H693" i="35" s="1"/>
  <c r="F133" i="35"/>
  <c r="G133" i="35" s="1"/>
  <c r="H133" i="35" s="1"/>
  <c r="F295" i="35"/>
  <c r="G295" i="35" s="1"/>
  <c r="H295" i="35" s="1"/>
  <c r="F370" i="35"/>
  <c r="G370" i="35" s="1"/>
  <c r="H370" i="35" s="1"/>
  <c r="F403" i="35"/>
  <c r="G403" i="35" s="1"/>
  <c r="H403" i="35" s="1"/>
  <c r="F435" i="35"/>
  <c r="G435" i="35" s="1"/>
  <c r="H435" i="35" s="1"/>
  <c r="F467" i="35"/>
  <c r="G467" i="35" s="1"/>
  <c r="H467" i="35" s="1"/>
  <c r="F499" i="35"/>
  <c r="G499" i="35" s="1"/>
  <c r="H499" i="35" s="1"/>
  <c r="F531" i="35"/>
  <c r="G531" i="35" s="1"/>
  <c r="H531" i="35" s="1"/>
  <c r="F563" i="35"/>
  <c r="G563" i="35" s="1"/>
  <c r="H563" i="35" s="1"/>
  <c r="F581" i="35"/>
  <c r="G581" i="35" s="1"/>
  <c r="H581" i="35" s="1"/>
  <c r="F597" i="35"/>
  <c r="G597" i="35" s="1"/>
  <c r="H597" i="35" s="1"/>
  <c r="F613" i="35"/>
  <c r="G613" i="35" s="1"/>
  <c r="H613" i="35" s="1"/>
  <c r="F629" i="35"/>
  <c r="G629" i="35" s="1"/>
  <c r="H629" i="35" s="1"/>
  <c r="F645" i="35"/>
  <c r="G645" i="35" s="1"/>
  <c r="H645" i="35" s="1"/>
  <c r="F661" i="35"/>
  <c r="G661" i="35" s="1"/>
  <c r="H661" i="35" s="1"/>
  <c r="F677" i="35"/>
  <c r="G677" i="35" s="1"/>
  <c r="H677" i="35" s="1"/>
  <c r="F694" i="35"/>
  <c r="G694" i="35" s="1"/>
  <c r="H694" i="35" s="1"/>
  <c r="M6" i="2"/>
  <c r="D39" i="258" l="1"/>
  <c r="E39" i="258" s="1"/>
  <c r="F39" i="258" s="1"/>
  <c r="G39" i="258" s="1"/>
  <c r="H39" i="258" s="1"/>
  <c r="I39" i="258" s="1"/>
  <c r="J39" i="258" s="1"/>
  <c r="K39" i="258" s="1"/>
  <c r="L39" i="258" s="1"/>
  <c r="M39" i="258" s="1"/>
  <c r="N39" i="258" l="1"/>
  <c r="D4" i="201"/>
  <c r="D5" i="201"/>
  <c r="D6" i="201"/>
  <c r="D7" i="201"/>
  <c r="D8" i="201"/>
  <c r="D9" i="201"/>
  <c r="D10" i="201"/>
  <c r="D11" i="201"/>
  <c r="D12" i="201"/>
  <c r="D13" i="201"/>
  <c r="D14" i="201"/>
  <c r="D15" i="201"/>
  <c r="D16" i="201"/>
  <c r="D17" i="201"/>
  <c r="D18" i="201"/>
  <c r="D19" i="201"/>
  <c r="D20" i="201"/>
  <c r="D21" i="201"/>
  <c r="D22" i="201"/>
  <c r="D23" i="201"/>
  <c r="D24" i="201"/>
  <c r="D25" i="201"/>
  <c r="D26" i="201"/>
  <c r="D27" i="201"/>
  <c r="D28" i="201"/>
  <c r="D29" i="201"/>
  <c r="D30" i="201"/>
  <c r="D31" i="201"/>
  <c r="D32" i="201"/>
  <c r="D33" i="201"/>
  <c r="D34" i="201"/>
  <c r="D35" i="201"/>
  <c r="D36" i="201"/>
  <c r="D37" i="201"/>
  <c r="D38" i="201"/>
  <c r="D39" i="201"/>
  <c r="D40" i="201"/>
  <c r="D41" i="201"/>
  <c r="D42" i="201"/>
  <c r="D43" i="201"/>
  <c r="D44" i="201"/>
  <c r="D45" i="201"/>
  <c r="D46" i="201"/>
  <c r="D47" i="201"/>
  <c r="D48" i="201"/>
  <c r="D49" i="201"/>
  <c r="D50" i="201"/>
  <c r="D51" i="201"/>
  <c r="D52" i="201"/>
  <c r="D53" i="201"/>
  <c r="D54" i="201"/>
  <c r="D55" i="201"/>
  <c r="D56" i="201"/>
  <c r="D57" i="201"/>
  <c r="D58" i="201"/>
  <c r="D59" i="201"/>
  <c r="D60" i="201"/>
  <c r="D61" i="201"/>
  <c r="D62" i="201"/>
  <c r="D63" i="201"/>
  <c r="D64" i="201"/>
  <c r="D66" i="201"/>
  <c r="D67" i="201"/>
  <c r="D69" i="201"/>
  <c r="D70" i="201"/>
  <c r="D71" i="201"/>
  <c r="D72" i="201"/>
  <c r="D73" i="201"/>
  <c r="D75" i="201"/>
  <c r="D76" i="201"/>
  <c r="D77" i="201"/>
  <c r="D3" i="201"/>
  <c r="F4" i="201"/>
  <c r="F5" i="201"/>
  <c r="F6" i="201"/>
  <c r="F7" i="201"/>
  <c r="F8" i="201"/>
  <c r="F9" i="201"/>
  <c r="F10" i="201"/>
  <c r="F11" i="201"/>
  <c r="F12" i="201"/>
  <c r="F13" i="201"/>
  <c r="F14" i="201"/>
  <c r="F15" i="201"/>
  <c r="F16" i="201"/>
  <c r="F17" i="201"/>
  <c r="F18" i="201"/>
  <c r="F19" i="201"/>
  <c r="F20" i="201"/>
  <c r="F21" i="201"/>
  <c r="F22" i="201"/>
  <c r="F23" i="201"/>
  <c r="F24" i="201"/>
  <c r="F25" i="201"/>
  <c r="F26" i="201"/>
  <c r="F27" i="201"/>
  <c r="F28" i="201"/>
  <c r="F29" i="201"/>
  <c r="F30" i="201"/>
  <c r="F31" i="201"/>
  <c r="F32" i="201"/>
  <c r="F33" i="201"/>
  <c r="F34" i="201"/>
  <c r="F35" i="201"/>
  <c r="F36" i="201"/>
  <c r="F37" i="201"/>
  <c r="F38" i="201"/>
  <c r="F39" i="201"/>
  <c r="F40" i="201"/>
  <c r="F41" i="201"/>
  <c r="F42" i="201"/>
  <c r="F43" i="201"/>
  <c r="F44" i="201"/>
  <c r="F45" i="201"/>
  <c r="F46" i="201"/>
  <c r="F47" i="201"/>
  <c r="F48" i="201"/>
  <c r="F49" i="201"/>
  <c r="F50" i="201"/>
  <c r="F51" i="201"/>
  <c r="F52" i="201"/>
  <c r="F53" i="201"/>
  <c r="F54" i="201"/>
  <c r="F55" i="201"/>
  <c r="F56" i="201"/>
  <c r="F57" i="201"/>
  <c r="F58" i="201"/>
  <c r="F59" i="201"/>
  <c r="F60" i="201"/>
  <c r="F61" i="201"/>
  <c r="F62" i="201"/>
  <c r="F63" i="201"/>
  <c r="F64" i="201"/>
  <c r="F66" i="201"/>
  <c r="F67" i="201"/>
  <c r="F69" i="201"/>
  <c r="F70" i="201"/>
  <c r="F71" i="201"/>
  <c r="F72" i="201"/>
  <c r="F73" i="201"/>
  <c r="F75" i="201"/>
  <c r="F76" i="201"/>
  <c r="F77" i="201"/>
  <c r="F3" i="201"/>
  <c r="E4" i="201"/>
  <c r="E5" i="201"/>
  <c r="E6" i="201"/>
  <c r="E7" i="201"/>
  <c r="E8" i="201"/>
  <c r="E9" i="201"/>
  <c r="E10" i="201"/>
  <c r="E11" i="201"/>
  <c r="E12" i="201"/>
  <c r="E13" i="201"/>
  <c r="E14" i="201"/>
  <c r="E15" i="201"/>
  <c r="E16" i="201"/>
  <c r="E17" i="201"/>
  <c r="E18" i="201"/>
  <c r="E19" i="201"/>
  <c r="E20" i="201"/>
  <c r="E21" i="201"/>
  <c r="E22" i="201"/>
  <c r="E23" i="201"/>
  <c r="E24" i="201"/>
  <c r="E25" i="201"/>
  <c r="E26" i="201"/>
  <c r="E27" i="201"/>
  <c r="E28" i="201"/>
  <c r="E29" i="201"/>
  <c r="E30" i="201"/>
  <c r="E31" i="201"/>
  <c r="E32" i="201"/>
  <c r="E33" i="201"/>
  <c r="E34" i="201"/>
  <c r="E35" i="201"/>
  <c r="E36" i="201"/>
  <c r="E37" i="201"/>
  <c r="E38" i="201"/>
  <c r="E39" i="201"/>
  <c r="E40" i="201"/>
  <c r="E41" i="201"/>
  <c r="E42" i="201"/>
  <c r="E43" i="201"/>
  <c r="E44" i="201"/>
  <c r="E45" i="201"/>
  <c r="E46" i="201"/>
  <c r="E47" i="201"/>
  <c r="E48" i="201"/>
  <c r="E49" i="201"/>
  <c r="E50" i="201"/>
  <c r="E51" i="201"/>
  <c r="E52" i="201"/>
  <c r="E53" i="201"/>
  <c r="E54" i="201"/>
  <c r="E55" i="201"/>
  <c r="E56" i="201"/>
  <c r="E57" i="201"/>
  <c r="E58" i="201"/>
  <c r="E59" i="201"/>
  <c r="E60" i="201"/>
  <c r="E61" i="201"/>
  <c r="E62" i="201"/>
  <c r="E63" i="201"/>
  <c r="E64" i="201"/>
  <c r="E66" i="201"/>
  <c r="E67" i="201"/>
  <c r="E69" i="201"/>
  <c r="E70" i="201"/>
  <c r="E71" i="201"/>
  <c r="E72" i="201"/>
  <c r="E73" i="201"/>
  <c r="E75" i="201"/>
  <c r="E76" i="201"/>
  <c r="E77" i="201"/>
  <c r="E3" i="201"/>
  <c r="E10" i="265" l="1"/>
  <c r="G4" i="201"/>
  <c r="G5" i="201"/>
  <c r="G6" i="201"/>
  <c r="G7" i="201"/>
  <c r="G8" i="201"/>
  <c r="G9" i="201"/>
  <c r="G10" i="201"/>
  <c r="G11" i="201"/>
  <c r="G12" i="201"/>
  <c r="G13" i="201"/>
  <c r="G14" i="201"/>
  <c r="G15" i="201"/>
  <c r="G16" i="201"/>
  <c r="G17" i="201"/>
  <c r="G18" i="201"/>
  <c r="G19" i="201"/>
  <c r="G20" i="201"/>
  <c r="G21" i="201"/>
  <c r="G22" i="201"/>
  <c r="G23" i="201"/>
  <c r="G24" i="201"/>
  <c r="G25" i="201"/>
  <c r="G26" i="201"/>
  <c r="G27" i="201"/>
  <c r="G28" i="201"/>
  <c r="G29" i="201"/>
  <c r="G30" i="201"/>
  <c r="G31" i="201"/>
  <c r="G32" i="201"/>
  <c r="G33" i="201"/>
  <c r="G34" i="201"/>
  <c r="G35" i="201"/>
  <c r="G36" i="201"/>
  <c r="G37" i="201"/>
  <c r="G38" i="201"/>
  <c r="G39" i="201"/>
  <c r="G40" i="201"/>
  <c r="G41" i="201"/>
  <c r="G42" i="201"/>
  <c r="G43" i="201"/>
  <c r="G44" i="201"/>
  <c r="G45" i="201"/>
  <c r="G46" i="201"/>
  <c r="G47" i="201"/>
  <c r="G48" i="201"/>
  <c r="G49" i="201"/>
  <c r="G50" i="201"/>
  <c r="G51" i="201"/>
  <c r="G52" i="201"/>
  <c r="G53" i="201"/>
  <c r="G54" i="201"/>
  <c r="G55" i="201"/>
  <c r="G56" i="201"/>
  <c r="G57" i="201"/>
  <c r="G58" i="201"/>
  <c r="G59" i="201"/>
  <c r="G60" i="201"/>
  <c r="G61" i="201"/>
  <c r="G62" i="201"/>
  <c r="G63" i="201"/>
  <c r="G64" i="201"/>
  <c r="G65" i="201"/>
  <c r="G66" i="201"/>
  <c r="G67" i="201"/>
  <c r="G68" i="201"/>
  <c r="G69" i="201"/>
  <c r="G70" i="201"/>
  <c r="G71" i="201"/>
  <c r="G72" i="201"/>
  <c r="G73" i="201"/>
  <c r="G74" i="201"/>
  <c r="G75" i="201"/>
  <c r="G76" i="201"/>
  <c r="G77" i="201"/>
  <c r="G3" i="201"/>
  <c r="D74" i="201" l="1"/>
  <c r="E74" i="201"/>
  <c r="F74" i="201"/>
  <c r="E68" i="201"/>
  <c r="F68" i="201"/>
  <c r="D68" i="201"/>
  <c r="E65" i="201"/>
  <c r="F65" i="201"/>
  <c r="D65" i="201"/>
  <c r="G67" i="265"/>
  <c r="F78" i="201" l="1"/>
  <c r="L65" i="201" l="1"/>
  <c r="L66" i="201"/>
  <c r="M68" i="258" l="1"/>
  <c r="N68" i="258"/>
  <c r="O68" i="258"/>
  <c r="Q77" i="202"/>
  <c r="Q78" i="202"/>
  <c r="Q79" i="202"/>
  <c r="Q80" i="202"/>
  <c r="Q81" i="202"/>
  <c r="Q82" i="202"/>
  <c r="Q83" i="202"/>
  <c r="Q84" i="202"/>
  <c r="I30" i="201" l="1"/>
  <c r="J30" i="201"/>
  <c r="K30" i="201" l="1"/>
  <c r="M70" i="258" l="1"/>
  <c r="N70" i="258" s="1"/>
  <c r="O70" i="258" s="1"/>
  <c r="N17" i="201" l="1"/>
  <c r="I17" i="201"/>
  <c r="J17" i="201"/>
  <c r="N58" i="201"/>
  <c r="I58" i="201"/>
  <c r="J58" i="201"/>
  <c r="K17" i="201" l="1"/>
  <c r="K58" i="201"/>
  <c r="L17" i="201"/>
  <c r="L58" i="201"/>
  <c r="N41" i="201"/>
  <c r="N42" i="201"/>
  <c r="N30" i="201"/>
  <c r="N68" i="201"/>
  <c r="L36" i="201"/>
  <c r="L68" i="201"/>
  <c r="I68" i="201"/>
  <c r="J68" i="201"/>
  <c r="I41" i="201"/>
  <c r="I42" i="201"/>
  <c r="J41" i="201"/>
  <c r="J42" i="201"/>
  <c r="Q70" i="202"/>
  <c r="Q71" i="202"/>
  <c r="Q72" i="202"/>
  <c r="Q73" i="202"/>
  <c r="Q74" i="202"/>
  <c r="Q75" i="202"/>
  <c r="Q76" i="202"/>
  <c r="L67" i="201" l="1"/>
  <c r="L30" i="201"/>
  <c r="M30" i="201" s="1"/>
  <c r="O30" i="201" s="1"/>
  <c r="L37" i="201"/>
  <c r="M17" i="201"/>
  <c r="O17" i="201" s="1"/>
  <c r="M58" i="201"/>
  <c r="O58" i="201" s="1"/>
  <c r="K68" i="201"/>
  <c r="M68" i="201" s="1"/>
  <c r="O68" i="201" s="1"/>
  <c r="L42" i="201"/>
  <c r="K42" i="201"/>
  <c r="K41" i="201"/>
  <c r="L41" i="201"/>
  <c r="M42" i="201" l="1"/>
  <c r="O42" i="201" s="1"/>
  <c r="M41" i="201"/>
  <c r="O41" i="201" s="1"/>
  <c r="I44" i="201" l="1"/>
  <c r="J44" i="201"/>
  <c r="N44" i="201" l="1"/>
  <c r="K44" i="201"/>
  <c r="L44" i="201"/>
  <c r="M44" i="201" l="1"/>
  <c r="O44" i="201" s="1"/>
  <c r="J61" i="201"/>
  <c r="J73" i="201" l="1"/>
  <c r="I43" i="201"/>
  <c r="J43" i="201"/>
  <c r="N43" i="201" l="1"/>
  <c r="K43" i="201"/>
  <c r="L43" i="201"/>
  <c r="Q69" i="202"/>
  <c r="Q68" i="202"/>
  <c r="Q67" i="202"/>
  <c r="Q66" i="202"/>
  <c r="Q65" i="202"/>
  <c r="Q64" i="202"/>
  <c r="Q63" i="202"/>
  <c r="Q62" i="202"/>
  <c r="Q61" i="202"/>
  <c r="Q60" i="202"/>
  <c r="Q59" i="202"/>
  <c r="Q58" i="202"/>
  <c r="Q57" i="202"/>
  <c r="Q56" i="202"/>
  <c r="Q55" i="202"/>
  <c r="Q54" i="202"/>
  <c r="Q53" i="202"/>
  <c r="Q52" i="202"/>
  <c r="Q51" i="202"/>
  <c r="Q50" i="202"/>
  <c r="Q49" i="202"/>
  <c r="Q48" i="202"/>
  <c r="Q47" i="202"/>
  <c r="Q46" i="202"/>
  <c r="Q45" i="202"/>
  <c r="Q44" i="202"/>
  <c r="Q43" i="202"/>
  <c r="Q42" i="202"/>
  <c r="Q41" i="202"/>
  <c r="Q40" i="202"/>
  <c r="Q39" i="202"/>
  <c r="Q38" i="202"/>
  <c r="Q37" i="202"/>
  <c r="Q36" i="202"/>
  <c r="Q35" i="202"/>
  <c r="Q34" i="202"/>
  <c r="Q33" i="202"/>
  <c r="Q32" i="202"/>
  <c r="Q31" i="202"/>
  <c r="Q30" i="202"/>
  <c r="Q29" i="202"/>
  <c r="Q28" i="202"/>
  <c r="Q27" i="202"/>
  <c r="Q26" i="202"/>
  <c r="Q25" i="202"/>
  <c r="Q24" i="202"/>
  <c r="Q23" i="202"/>
  <c r="Q22" i="202"/>
  <c r="Q21" i="202"/>
  <c r="Q20" i="202"/>
  <c r="Q19" i="202"/>
  <c r="Q18" i="202"/>
  <c r="Q17" i="202"/>
  <c r="Q16" i="202"/>
  <c r="Q15" i="202"/>
  <c r="Q14" i="202"/>
  <c r="Q13" i="202"/>
  <c r="Q12" i="202"/>
  <c r="Q11" i="202"/>
  <c r="Q10" i="202"/>
  <c r="M43" i="201" l="1"/>
  <c r="O43" i="201" s="1"/>
  <c r="I40" i="201" l="1"/>
  <c r="J40" i="201"/>
  <c r="N40" i="201" l="1"/>
  <c r="K40" i="201"/>
  <c r="L40" i="201"/>
  <c r="N39" i="201"/>
  <c r="I39" i="201"/>
  <c r="J39" i="201"/>
  <c r="K39" i="201" l="1"/>
  <c r="M40" i="201"/>
  <c r="O40" i="201" s="1"/>
  <c r="L39" i="201"/>
  <c r="M39" i="201" l="1"/>
  <c r="O39" i="201" s="1"/>
  <c r="N7" i="201"/>
  <c r="N8" i="201"/>
  <c r="L9" i="201"/>
  <c r="N9" i="201"/>
  <c r="L18" i="201"/>
  <c r="N36" i="201"/>
  <c r="N37" i="201"/>
  <c r="N38" i="201"/>
  <c r="L46" i="201"/>
  <c r="N46" i="201"/>
  <c r="L49" i="201"/>
  <c r="N49" i="201"/>
  <c r="N52" i="201"/>
  <c r="L53" i="201"/>
  <c r="N53" i="201"/>
  <c r="N54" i="201"/>
  <c r="L59" i="201"/>
  <c r="L62" i="201"/>
  <c r="J13" i="201"/>
  <c r="J8" i="201"/>
  <c r="J9" i="201"/>
  <c r="J16" i="201"/>
  <c r="J18" i="201"/>
  <c r="J21" i="201"/>
  <c r="J22" i="201"/>
  <c r="J25" i="201"/>
  <c r="J26" i="201"/>
  <c r="J29" i="201"/>
  <c r="J31" i="201"/>
  <c r="J34" i="201"/>
  <c r="J35" i="201"/>
  <c r="J38" i="201"/>
  <c r="J45" i="201"/>
  <c r="J48" i="201"/>
  <c r="J53" i="201"/>
  <c r="J57" i="201"/>
  <c r="J62" i="201"/>
  <c r="J66" i="201"/>
  <c r="J71" i="201"/>
  <c r="I7" i="201"/>
  <c r="J7" i="201"/>
  <c r="I8" i="201"/>
  <c r="I9" i="201"/>
  <c r="I10" i="201"/>
  <c r="J10" i="201"/>
  <c r="I11" i="201"/>
  <c r="J11" i="201"/>
  <c r="I12" i="201"/>
  <c r="J12" i="201"/>
  <c r="I13" i="201"/>
  <c r="I14" i="201"/>
  <c r="J14" i="201"/>
  <c r="I15" i="201"/>
  <c r="J15" i="201"/>
  <c r="I16" i="201"/>
  <c r="I18" i="201"/>
  <c r="I19" i="201"/>
  <c r="J19" i="201"/>
  <c r="I20" i="201"/>
  <c r="J20" i="201"/>
  <c r="I21" i="201"/>
  <c r="I22" i="201"/>
  <c r="I23" i="201"/>
  <c r="J23" i="201"/>
  <c r="I24" i="201"/>
  <c r="J24" i="201"/>
  <c r="I25" i="201"/>
  <c r="I26" i="201"/>
  <c r="I27" i="201"/>
  <c r="J27" i="201"/>
  <c r="I28" i="201"/>
  <c r="J28" i="201"/>
  <c r="I29" i="201"/>
  <c r="I31" i="201"/>
  <c r="I32" i="201"/>
  <c r="J32" i="201"/>
  <c r="I33" i="201"/>
  <c r="J33" i="201"/>
  <c r="I34" i="201"/>
  <c r="I35" i="201"/>
  <c r="I36" i="201"/>
  <c r="J36" i="201"/>
  <c r="I37" i="201"/>
  <c r="J37" i="201"/>
  <c r="I38" i="201"/>
  <c r="I45" i="201"/>
  <c r="I46" i="201"/>
  <c r="J46" i="201"/>
  <c r="I47" i="201"/>
  <c r="J47" i="201"/>
  <c r="I48" i="201"/>
  <c r="I49" i="201"/>
  <c r="J49" i="201"/>
  <c r="I50" i="201"/>
  <c r="J50" i="201"/>
  <c r="I51" i="201"/>
  <c r="J51" i="201"/>
  <c r="I52" i="201"/>
  <c r="J52" i="201"/>
  <c r="I53" i="201"/>
  <c r="I54" i="201"/>
  <c r="J54" i="201"/>
  <c r="I55" i="201"/>
  <c r="J55" i="201"/>
  <c r="I56" i="201"/>
  <c r="J56" i="201"/>
  <c r="I57" i="201"/>
  <c r="I59" i="201"/>
  <c r="J59" i="201"/>
  <c r="I60" i="201"/>
  <c r="J60" i="201"/>
  <c r="I61" i="201"/>
  <c r="I62" i="201"/>
  <c r="I63" i="201"/>
  <c r="J63" i="201"/>
  <c r="I64" i="201"/>
  <c r="J64" i="201"/>
  <c r="I65" i="201"/>
  <c r="J65" i="201"/>
  <c r="I66" i="201"/>
  <c r="I67" i="201"/>
  <c r="J67" i="201"/>
  <c r="I69" i="201"/>
  <c r="J69" i="201"/>
  <c r="I70" i="201"/>
  <c r="J70" i="201"/>
  <c r="I71" i="201"/>
  <c r="I72" i="201"/>
  <c r="J72" i="201"/>
  <c r="I73" i="201"/>
  <c r="L24" i="201" l="1"/>
  <c r="L26" i="201"/>
  <c r="L71" i="201"/>
  <c r="K65" i="201"/>
  <c r="K56" i="201"/>
  <c r="L32" i="201"/>
  <c r="K67" i="201"/>
  <c r="M67" i="201" s="1"/>
  <c r="K64" i="201"/>
  <c r="K55" i="201"/>
  <c r="K37" i="201"/>
  <c r="K28" i="201"/>
  <c r="K20" i="201"/>
  <c r="K63" i="201"/>
  <c r="K11" i="201"/>
  <c r="K54" i="201"/>
  <c r="K51" i="201"/>
  <c r="K36" i="201"/>
  <c r="M36" i="201" s="1"/>
  <c r="O36" i="201" s="1"/>
  <c r="K27" i="201"/>
  <c r="K19" i="201"/>
  <c r="K60" i="201"/>
  <c r="K46" i="201"/>
  <c r="M46" i="201" s="1"/>
  <c r="O46" i="201" s="1"/>
  <c r="K32" i="201"/>
  <c r="K15" i="201"/>
  <c r="K69" i="201"/>
  <c r="K73" i="201"/>
  <c r="K72" i="201"/>
  <c r="L57" i="201"/>
  <c r="L23" i="201"/>
  <c r="L13" i="201"/>
  <c r="K7" i="201"/>
  <c r="K59" i="201"/>
  <c r="M59" i="201" s="1"/>
  <c r="L54" i="201"/>
  <c r="K50" i="201"/>
  <c r="K47" i="201"/>
  <c r="K33" i="201"/>
  <c r="K24" i="201"/>
  <c r="K23" i="201"/>
  <c r="K14" i="201"/>
  <c r="K10" i="201"/>
  <c r="L27" i="201"/>
  <c r="L72" i="201"/>
  <c r="L63" i="201"/>
  <c r="L10" i="201"/>
  <c r="L35" i="201"/>
  <c r="L70" i="201"/>
  <c r="L69" i="201"/>
  <c r="L55" i="201"/>
  <c r="L16" i="201"/>
  <c r="L60" i="201"/>
  <c r="L45" i="201"/>
  <c r="L28" i="201"/>
  <c r="L51" i="201"/>
  <c r="L33" i="201"/>
  <c r="L31" i="201"/>
  <c r="L15" i="201"/>
  <c r="L22" i="201"/>
  <c r="L19" i="201"/>
  <c r="L64" i="201"/>
  <c r="L25" i="201"/>
  <c r="L20" i="201"/>
  <c r="L73" i="201"/>
  <c r="L52" i="201"/>
  <c r="L50" i="201"/>
  <c r="L48" i="201"/>
  <c r="L14" i="201"/>
  <c r="L11" i="201"/>
  <c r="L47" i="201"/>
  <c r="L34" i="201"/>
  <c r="L7" i="201"/>
  <c r="L56" i="201"/>
  <c r="L8" i="201"/>
  <c r="L61" i="201"/>
  <c r="L38" i="201"/>
  <c r="L29" i="201"/>
  <c r="L21" i="201"/>
  <c r="L12" i="201"/>
  <c r="K71" i="201"/>
  <c r="K66" i="201"/>
  <c r="K62" i="201"/>
  <c r="M62" i="201" s="1"/>
  <c r="K57" i="201"/>
  <c r="K53" i="201"/>
  <c r="M53" i="201" s="1"/>
  <c r="O53" i="201" s="1"/>
  <c r="K49" i="201"/>
  <c r="M49" i="201" s="1"/>
  <c r="O49" i="201" s="1"/>
  <c r="K45" i="201"/>
  <c r="K35" i="201"/>
  <c r="K31" i="201"/>
  <c r="K26" i="201"/>
  <c r="K22" i="201"/>
  <c r="K18" i="201"/>
  <c r="M18" i="201" s="1"/>
  <c r="K13" i="201"/>
  <c r="K9" i="201"/>
  <c r="M9" i="201" s="1"/>
  <c r="O9" i="201" s="1"/>
  <c r="K48" i="201"/>
  <c r="K34" i="201"/>
  <c r="K25" i="201"/>
  <c r="K16" i="201"/>
  <c r="K8" i="201"/>
  <c r="K70" i="201"/>
  <c r="K61" i="201"/>
  <c r="K52" i="201"/>
  <c r="K38" i="201"/>
  <c r="K29" i="201"/>
  <c r="K21" i="201"/>
  <c r="K12" i="201"/>
  <c r="M26" i="201" l="1"/>
  <c r="M64" i="201"/>
  <c r="M71" i="201"/>
  <c r="M27" i="201"/>
  <c r="M20" i="201"/>
  <c r="M24" i="201"/>
  <c r="M32" i="201"/>
  <c r="M35" i="201"/>
  <c r="M37" i="201"/>
  <c r="O37" i="201" s="1"/>
  <c r="M28" i="201"/>
  <c r="M54" i="201"/>
  <c r="O54" i="201" s="1"/>
  <c r="M50" i="201"/>
  <c r="M63" i="201"/>
  <c r="M55" i="201"/>
  <c r="M51" i="201"/>
  <c r="M60" i="201"/>
  <c r="M69" i="201"/>
  <c r="M11" i="201"/>
  <c r="M19" i="201"/>
  <c r="M10" i="201"/>
  <c r="M73" i="201"/>
  <c r="M15" i="201"/>
  <c r="M33" i="201"/>
  <c r="M47" i="201"/>
  <c r="M23" i="201"/>
  <c r="M7" i="201"/>
  <c r="O7" i="201" s="1"/>
  <c r="M14" i="201"/>
  <c r="M72" i="201"/>
  <c r="M57" i="201"/>
  <c r="M13" i="201"/>
  <c r="M66" i="201"/>
  <c r="M16" i="201"/>
  <c r="M45" i="201"/>
  <c r="M25" i="201"/>
  <c r="M38" i="201"/>
  <c r="O38" i="201" s="1"/>
  <c r="M31" i="201"/>
  <c r="M61" i="201"/>
  <c r="M70" i="201"/>
  <c r="M22" i="201"/>
  <c r="M48" i="201"/>
  <c r="M8" i="201"/>
  <c r="O8" i="201" s="1"/>
  <c r="M52" i="201"/>
  <c r="O52" i="201" s="1"/>
  <c r="M29" i="201"/>
  <c r="M56" i="201"/>
  <c r="M34" i="201"/>
  <c r="M21" i="201"/>
  <c r="M65" i="201"/>
  <c r="M12" i="201"/>
  <c r="N66" i="201" l="1"/>
  <c r="O66" i="201" s="1"/>
  <c r="I4" i="201"/>
  <c r="I5" i="201"/>
  <c r="I6" i="201"/>
  <c r="I74" i="201"/>
  <c r="I75" i="201"/>
  <c r="I76" i="201"/>
  <c r="I77" i="201"/>
  <c r="I3" i="201"/>
  <c r="J5" i="201"/>
  <c r="N6" i="201"/>
  <c r="J6" i="201"/>
  <c r="J4" i="201"/>
  <c r="J74" i="201"/>
  <c r="J75" i="201"/>
  <c r="J76" i="201"/>
  <c r="J77" i="201"/>
  <c r="J3" i="201"/>
  <c r="I78" i="201" l="1"/>
  <c r="K4" i="201"/>
  <c r="K75" i="201"/>
  <c r="K76" i="201"/>
  <c r="K5" i="201"/>
  <c r="K6" i="201"/>
  <c r="K74" i="201"/>
  <c r="K77" i="201"/>
  <c r="L6" i="201"/>
  <c r="J78" i="201"/>
  <c r="L5" i="201"/>
  <c r="K3" i="201"/>
  <c r="M5" i="201" l="1"/>
  <c r="M6" i="201"/>
  <c r="O6" i="201" s="1"/>
  <c r="L77" i="201" l="1"/>
  <c r="N12" i="201" l="1"/>
  <c r="O12" i="201" s="1"/>
  <c r="N11" i="201" l="1"/>
  <c r="O11" i="201" s="1"/>
  <c r="N13" i="201"/>
  <c r="O13" i="201" s="1"/>
  <c r="N5" i="201" l="1"/>
  <c r="O5" i="201" s="1"/>
  <c r="D78" i="201" l="1"/>
  <c r="Q4" i="201" l="1"/>
  <c r="Q10" i="201"/>
  <c r="Q13" i="201"/>
  <c r="Q14" i="201"/>
  <c r="Q15" i="201"/>
  <c r="Q16" i="201"/>
  <c r="Q18" i="201"/>
  <c r="Q19" i="201"/>
  <c r="Q20" i="201"/>
  <c r="Q21" i="201"/>
  <c r="Q22" i="201"/>
  <c r="Q23" i="201"/>
  <c r="Q24" i="201"/>
  <c r="Q25" i="201"/>
  <c r="Q26" i="201"/>
  <c r="Q27" i="201"/>
  <c r="Q28" i="201"/>
  <c r="Q29" i="201"/>
  <c r="Q31" i="201"/>
  <c r="Q32" i="201"/>
  <c r="Q33" i="201"/>
  <c r="Q34" i="201"/>
  <c r="Q35" i="201"/>
  <c r="Q45" i="201"/>
  <c r="Q47" i="201"/>
  <c r="Q48" i="201"/>
  <c r="Q49" i="201"/>
  <c r="Q50" i="201"/>
  <c r="Q51" i="201"/>
  <c r="Q55" i="201"/>
  <c r="Q56" i="201"/>
  <c r="Q57" i="201"/>
  <c r="Q59" i="201"/>
  <c r="Q60" i="201"/>
  <c r="Q61" i="201"/>
  <c r="Q62" i="201"/>
  <c r="Q63" i="201"/>
  <c r="Q64" i="201"/>
  <c r="Q65" i="201"/>
  <c r="Q67" i="201"/>
  <c r="Q69" i="201"/>
  <c r="Q70" i="201"/>
  <c r="Q71" i="201"/>
  <c r="Q72" i="201"/>
  <c r="Q73" i="201"/>
  <c r="Q74" i="201"/>
  <c r="Q75" i="201"/>
  <c r="Q76" i="201"/>
  <c r="Q77" i="201"/>
  <c r="Q3" i="201"/>
  <c r="L4" i="201" l="1"/>
  <c r="L74" i="201"/>
  <c r="L75" i="201"/>
  <c r="L76" i="201"/>
  <c r="L3" i="201"/>
  <c r="N76" i="201"/>
  <c r="N77" i="201"/>
  <c r="N35" i="201"/>
  <c r="O35" i="201" s="1"/>
  <c r="N45" i="201"/>
  <c r="O45" i="201" s="1"/>
  <c r="N27" i="201" l="1"/>
  <c r="O27" i="201" s="1"/>
  <c r="N64" i="201"/>
  <c r="O64" i="201" s="1"/>
  <c r="N67" i="201"/>
  <c r="O67" i="201" s="1"/>
  <c r="N73" i="201"/>
  <c r="O73" i="201" s="1"/>
  <c r="N72" i="201"/>
  <c r="O72" i="201" s="1"/>
  <c r="N63" i="201"/>
  <c r="O63" i="201" s="1"/>
  <c r="N62" i="201"/>
  <c r="O62" i="201" s="1"/>
  <c r="N55" i="201"/>
  <c r="O55" i="201" s="1"/>
  <c r="N25" i="201"/>
  <c r="O25" i="201" s="1"/>
  <c r="N32" i="201"/>
  <c r="O32" i="201" s="1"/>
  <c r="N29" i="201"/>
  <c r="O29" i="201" s="1"/>
  <c r="N22" i="201"/>
  <c r="O22" i="201" s="1"/>
  <c r="N18" i="201"/>
  <c r="O18" i="201" s="1"/>
  <c r="N14" i="201"/>
  <c r="O14" i="201" s="1"/>
  <c r="N70" i="201"/>
  <c r="O70" i="201" s="1"/>
  <c r="N59" i="201"/>
  <c r="O59" i="201" s="1"/>
  <c r="N31" i="201"/>
  <c r="O31" i="201" s="1"/>
  <c r="N71" i="201"/>
  <c r="O71" i="201" s="1"/>
  <c r="N47" i="201"/>
  <c r="O47" i="201" s="1"/>
  <c r="N23" i="201"/>
  <c r="O23" i="201" s="1"/>
  <c r="N33" i="201"/>
  <c r="O33" i="201" s="1"/>
  <c r="N51" i="201"/>
  <c r="O51" i="201" s="1"/>
  <c r="N61" i="201"/>
  <c r="O61" i="201" s="1"/>
  <c r="N57" i="201"/>
  <c r="O57" i="201" s="1"/>
  <c r="N50" i="201"/>
  <c r="O50" i="201" s="1"/>
  <c r="N24" i="201"/>
  <c r="O24" i="201" s="1"/>
  <c r="N21" i="201"/>
  <c r="O21" i="201" s="1"/>
  <c r="N16" i="201"/>
  <c r="O16" i="201" s="1"/>
  <c r="N60" i="201"/>
  <c r="O60" i="201" s="1"/>
  <c r="N56" i="201"/>
  <c r="O56" i="201" s="1"/>
  <c r="N48" i="201"/>
  <c r="O48" i="201" s="1"/>
  <c r="N34" i="201"/>
  <c r="O34" i="201" s="1"/>
  <c r="N26" i="201"/>
  <c r="O26" i="201" s="1"/>
  <c r="N28" i="201"/>
  <c r="O28" i="201" s="1"/>
  <c r="N19" i="201"/>
  <c r="O19" i="201" s="1"/>
  <c r="N15" i="201"/>
  <c r="O15" i="201" s="1"/>
  <c r="N69" i="201"/>
  <c r="O69" i="201" s="1"/>
  <c r="N10" i="201"/>
  <c r="O10" i="201" s="1"/>
  <c r="N20" i="201"/>
  <c r="O20" i="201" s="1"/>
  <c r="L78" i="201"/>
  <c r="N4" i="201"/>
  <c r="N75" i="201"/>
  <c r="N74" i="201"/>
  <c r="N65" i="201"/>
  <c r="O65" i="201" l="1"/>
  <c r="P22" i="201"/>
  <c r="P20" i="201"/>
  <c r="P19" i="201"/>
  <c r="P21" i="201"/>
  <c r="P18" i="201"/>
  <c r="M76" i="201"/>
  <c r="O76" i="201" s="1"/>
  <c r="N3" i="201"/>
  <c r="M74" i="201"/>
  <c r="M4" i="201"/>
  <c r="O4" i="201" s="1"/>
  <c r="M77" i="201"/>
  <c r="O77" i="201" s="1"/>
  <c r="M75" i="201"/>
  <c r="O75" i="201" s="1"/>
  <c r="M3" i="201"/>
  <c r="P76" i="201"/>
  <c r="P62" i="201"/>
  <c r="P71" i="201"/>
  <c r="P16" i="201"/>
  <c r="P55" i="201"/>
  <c r="P25" i="201"/>
  <c r="P13" i="201"/>
  <c r="P24" i="201"/>
  <c r="P63" i="201"/>
  <c r="P28" i="201"/>
  <c r="P34" i="201"/>
  <c r="P48" i="201"/>
  <c r="P72" i="201"/>
  <c r="P10" i="201"/>
  <c r="P50" i="201"/>
  <c r="P23" i="201"/>
  <c r="P33" i="201"/>
  <c r="P56" i="201"/>
  <c r="P70" i="201"/>
  <c r="P75" i="201"/>
  <c r="P35" i="201"/>
  <c r="P26" i="201"/>
  <c r="P67" i="201"/>
  <c r="P15" i="201"/>
  <c r="P31" i="201"/>
  <c r="P45" i="201"/>
  <c r="P51" i="201"/>
  <c r="P73" i="201"/>
  <c r="P29" i="201"/>
  <c r="P49" i="201"/>
  <c r="P4" i="201"/>
  <c r="P14" i="201"/>
  <c r="P27" i="201"/>
  <c r="P47" i="201"/>
  <c r="P69" i="201"/>
  <c r="M78" i="201" l="1"/>
  <c r="O74" i="201"/>
  <c r="N78" i="201"/>
  <c r="G14" i="2" s="1"/>
  <c r="G78" i="201"/>
  <c r="P3" i="201"/>
  <c r="O3" i="201"/>
  <c r="K78" i="201"/>
  <c r="G11" i="2" s="1"/>
  <c r="P57" i="201"/>
  <c r="P61" i="201"/>
  <c r="P59" i="201"/>
  <c r="P77" i="201"/>
  <c r="O78" i="201" l="1"/>
  <c r="G21" i="2" s="1"/>
  <c r="G17" i="2"/>
  <c r="E78" i="201" l="1"/>
  <c r="P64" i="201"/>
  <c r="C78" i="201"/>
  <c r="P65" i="201"/>
  <c r="G24" i="2" l="1"/>
  <c r="P60" i="201"/>
  <c r="P32" i="201"/>
  <c r="P74" i="201"/>
  <c r="P78" i="201" l="1"/>
  <c r="J42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</author>
  </authors>
  <commentList>
    <comment ref="L2" authorId="0" shapeId="0" xr:uid="{8DBE7C5C-CDB2-4AB2-A26C-9D07C305CE0B}">
      <text>
        <r>
          <rPr>
            <b/>
            <sz val="9"/>
            <color indexed="81"/>
            <rFont val="Tahoma"/>
            <family val="2"/>
          </rPr>
          <t>M:</t>
        </r>
        <r>
          <rPr>
            <sz val="9"/>
            <color indexed="81"/>
            <rFont val="Tahoma"/>
            <family val="2"/>
          </rPr>
          <t xml:space="preserve">
i.e.: midnight date b/w Mar 28th and 29th is 29/03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C5689E8-48C7-4084-A646-67E34BCD103B}" name="Connection" type="1" refreshedVersion="6" savePassword="1" saveData="1">
    <dbPr connection="DRIVER=SQL Server;SERVER=192.168.1.40;UID=sa;PWD=W@rdyIT01;APP=Microsoft Office 2003;WSID=SCOTTP;DATABASE=rms" command=" Use RMS;  SELECT cluster_code as store_code,tendertype_mnemonic as tender_type, sum(tenderline.tender_value) as tender_amount  FROM sale as s (nolock)  INNER JOIN tenderline (nolock) on s.sale_code = tenderline.source_doc_code  WHERE(transaction_date_time between ' 2021-02-28 21:00:00' and ' 2021-02-28 23:59:59' AND LEFT(s.cluster_code,1) in ('2','3','7','9'))  OR (transaction_date_time between ' 2021-02-28 20:00:00' and ' 2021-02-28 23:59:59' AND LEFT(s.cluster_code,1) in ('4'))  OR (transaction_date_time between ' 2021-02-28 20:30:00' and ' 2021-02-28 23:59:59' AND LEFT(s.cluster_code,1) in ('5'))  OR (transaction_date_time between ' 2021-02-28 19:30:00' and ' 2021-02-28 23:59:59' AND LEFT(s.cluster_code,1) in ('8'))  OR (transaction_date_time between ' 2021-02-28 18:00:00' and ' 2021-02-28 23:59:59' AND LEFT(s.cluster_code,1) in ('6'))  GROUP BY cluster_code, tendertype_mnemonic  ORDER BY cluster_code; "/>
  </connection>
  <connection id="2" xr16:uid="{05B1BA2A-AB27-423D-B13E-667B8DA62DB5}" name="Connection1" type="1" refreshedVersion="0" savePassword="1" background="1" saveData="1">
    <dbPr connection="DRIVER=SQL Server;SERVER=192.168.1.40;UID=sa;PWD=W@rdyIT01;APP=Microsoft Office 2003;WSID=SCOTTP;DATABASE=rms" command=" Use RMS;  SELECT cluster_code as store_code,tendertype_mnemonic as tender_type, sum(tenderline.tender_value) as tender_amount  FROM sale as s (nolock)  INNER JOIN tenderline (nolock) on s.sale_code = tenderline.source_doc_code  WHERE(transaction_date_time between ' 2021-02-2821:00:00 ' and ' 2021-02-28 23:59:59' AND LEFT(s.cluster_code,1) in ('2','3','7','9'))  OR (transaction_date_time between ' 2021-02-2820:00:00 ' and ' 2021-02-28 23:59:59' AND LEFT(s.cluster_code,1) in ('4'))  OR (transaction_date_time between ' 2021-02-2820:30:00 ' and ' 2021-02-28 23:59:59' AND LEFT(s.cluster_code,1) in ('5'))  OR (transaction_date_time between ' 2021-02-2819:30:00 ' and ' 2021-02-28 23:59:59' AND LEFT(s.cluster_code,1) in ('8'))  OR (transaction_date_time between ' 2021-02-2818:00:00 ' and ' 2021-02-28 23:59:59' AND LEFT(s.cluster_code,1) in ('6'))  GROUP BY cluster_code, tendertype_mnemonic  ORDER BY cluster_code; "/>
  </connection>
  <connection id="3" xr16:uid="{7B3682DD-D808-4D79-BBC3-399A40E9C2CB}" name="Connection10" type="1" refreshedVersion="6" savePassword="1" saveData="1">
    <dbPr connection="DRIVER=SQL Server;SERVER=192.168.1.40;UID=sa;PWD=W@rdyIT01;APP=Microsoft Office 2003;WSID=SCOTTP;DATABASE=rms" command=" Use RMS;  SELECT virtualdrawer.issued_date_time AS [Issued Date], virtualdrawer.reconciled_date_time AS [Rec Date],storejournal.store_code AS Store, storejournal.transaction_date_time AS [GL Trans Date],storejournal.gl_company_code AS Co,storejournal.gl_description AS [GL Desc],storejournal.gl_account_code AS Account,storejournal.expense_amount AS [$],storejournal.free_form_description AS [Desc],storejournal.gltranslation_code AS [GL Translation],storejournal.virtualdrawer_code AS Drawer  FROM virtualdrawer INNER JOIN storejournal ON virtualdrawer.virtualdrawer_code = storejournal.virtualdrawer_code  WHERE (virtualdrawer.issued_date_time &lt; CONVERT(DATETIME, ' 2021-02-28 00:00:00', 102))  AND     (virtualdrawer.reconciled_date_time &gt; CONVERT(DATETIME, ' 2021-02-28 00:00:00', 102))   AND     (storejournal.gltranslation_code &lt;&gt; 'CC'); "/>
  </connection>
  <connection id="4" xr16:uid="{8D84A864-9194-48FA-B6B8-B93E0C2541FC}" name="Connection11" type="1" refreshedVersion="6" savePassword="1" saveData="1">
    <dbPr connection="DRIVER=SQL Server;SERVER=192.168.1.40;UID=sa;PWD=W@rdyIT01;APP=Microsoft Office 2003;WSID=SCOTTP;DATABASE=rms" command=" Use RMS;  SELECT cluster_code as store_code,tendertype_mnemonic as tender_type, sum(tenderline.tender_value) as tender_amount  FROM sale as s (nolock)  INNER JOIN tenderline (nolock) on s.sale_code = tenderline.source_doc_code  WHERE(transaction_date_time between ' 2021-02-28 21:00:00 ' and ' 2021-02-28 23:59:59' AND LEFT(s.cluster_code,1) in ('2','3','7','9'))  OR (transaction_date_time between ' 2021-02-28 20:00:00 ' and ' 2021-02-28 23:59:59' AND LEFT(s.cluster_code,1) in ('4'))  OR (transaction_date_time between ' 2021-02-28 20:30:00 ' and ' 2021-02-28 23:59:59' AND LEFT(s.cluster_code,1) in ('5'))  OR (transaction_date_time between ' 2021-02-28 19:30:00 ' and ' 2021-02-28 23:59:59' AND LEFT(s.cluster_code,1) in ('8'))  OR (transaction_date_time between ' 2021-02-28 18:00:00 ' and ' 2021-02-28 23:59:59' AND LEFT(s.cluster_code,1) in ('6'))  GROUP BY cluster_code, tendertype_mnemonic  ORDER BY cluster_code; "/>
  </connection>
  <connection id="5" xr16:uid="{55D5D691-5CB9-4A46-86DF-7B38A15F1D6F}" name="Connection12" type="1" refreshedVersion="6" savePassword="1" saveData="1">
    <dbPr connection="DRIVER=SQL Server;SERVER=192.168.1.40;UID=sa;PWD=W@rdyIT01;APP=Microsoft Office 2003;WSID=SCOTTP;DATABASE=rms" command=" Use RMS;  SELECT cluster_code as store_code,tendertype_mnemonic as tender_type, sum(tenderline.tender_value) as tender_amount  FROM sale as s (nolock)  INNER JOIN tenderline (nolock) on s.sale_code = tenderline.source_doc_code  WHERE(transaction_date_time between ' 2021-03-31 21:00:00 ' and ' 2021-03-31 23:59:59' AND LEFT(s.cluster_code,1) in ('2','3','7','9'))  OR (transaction_date_time between ' 2021-03-31 20:00:00 ' and ' 2021-03-31 23:59:59' AND LEFT(s.cluster_code,1) in ('4'))  OR (transaction_date_time between ' 2021-03-31 20:30:00 ' and ' 2021-03-31 23:59:59' AND LEFT(s.cluster_code,1) in ('5'))  OR (transaction_date_time between ' 2021-03-31 19:30:00 ' and ' 2021-03-31 23:59:59' AND LEFT(s.cluster_code,1) in ('8'))  OR (transaction_date_time between ' 2021-03-31 18:00:00 ' and ' 2021-03-31 23:59:59' AND LEFT(s.cluster_code,1) in ('6'))  GROUP BY cluster_code, tendertype_mnemonic  ORDER BY cluster_code; "/>
  </connection>
  <connection id="6" xr16:uid="{6E344782-26EA-4253-A28E-5134E5C6B4B8}" name="Connection13" type="1" refreshedVersion="6" savePassword="1" saveData="1">
    <dbPr connection="DRIVER=SQL Server;SERVER=192.168.1.40;UID=sa;PWD=W@rdyIT01;APP=Microsoft Office 2003;WSID=SCOTTP;DATABASE=rms" command=" Use RMS;  SELECT sale.store_code , sale.virtualdrawer_code as midnightdrawer_code, sale.transaction_date_time, tenderline.tendertype_mnemonic as tendertype, sale.net_tran_total as tran_total FROM sale LEFT JOIN tenderline ON sale.sale_code=tenderline.source_doc_code  WHERE ( sale.virtualdrawer_code IN (  SELECT storejournal.virtualdrawer_code  FROM virtualdrawer  LEFT JOIN storejournal ON virtualdrawer.virtualdrawer_code = storejournal.virtualdrawer_code  WHERE (virtualdrawer.issued_date_time &lt; CONVERT(DATETIME, ' 2021-04-01 00:00:00', 102))  AND (virtualdrawer.reconciled_date_time &gt; CONVERT(DATETIME, ' 2021-04-01 00:00:00', 102))  AND (storejournal.gltranslation_code &lt;&gt; 'CC')  ))  ORDER BY sale.store_code,sale.transaction_date_time; "/>
  </connection>
  <connection id="7" xr16:uid="{9833EDDD-A5C7-4B82-AF11-C115F6807FFF}" name="Connection14" type="1" refreshedVersion="6" savePassword="1" saveData="1">
    <dbPr connection="DRIVER=SQL Server;SERVER=192.168.1.40;UID=sa;PWD=W@rdyIT01;APP=Microsoft Office 2003;WSID=SCOTTP;DATABASE=rms" command=" Use RMS;  SELECT virtualdrawer.issued_date_time AS [Issued Date], virtualdrawer.reconciled_date_time AS [Rec Date],storejournal.store_code AS Store, storejournal.transaction_date_time AS [GL Trans Date],storejournal.gl_company_code AS Co,storejournal.gl_description AS [GL Desc],storejournal.gl_account_code AS Account,storejournal.expense_amount AS [$],storejournal.free_form_description AS [Desc],storejournal.gltranslation_code AS [GL Translation],storejournal.virtualdrawer_code AS Drawer  FROM virtualdrawer INNER JOIN storejournal ON virtualdrawer.virtualdrawer_code = storejournal.virtualdrawer_code  WHERE (virtualdrawer.issued_date_time &lt; CONVERT(DATETIME, ' 2021-03-31 00:00:00', 102))       AND (virtualdrawer.reconciled_date_time &gt; CONVERT(DATETIME, ' 2021-03-31 00:00:00', 102))        AND (storejournal.gltranslation_code &lt;&gt; 'CC'); "/>
  </connection>
  <connection id="8" xr16:uid="{5328BAA3-3966-4F5F-A1E1-77B63D25A307}" name="Connection15" type="1" refreshedVersion="6" savePassword="1" saveData="1">
    <dbPr connection="DRIVER=SQL Server;SERVER=192.168.1.40;UID=sa;PWD=W@rdyIT01;APP=Microsoft Office 2003;WSID=SCOTTP;DATABASE=rms" command=" Use RMS;  SELECT virtualdrawer.issued_date_time AS [Issued Date], virtualdrawer.reconciled_date_time AS [Rec Date],storejournal.store_code AS Store, storejournal.transaction_date_time AS [GL Trans Date],storejournal.gl_company_code AS Co,storejournal.gl_description AS [GL Desc],storejournal.gl_account_code AS Account,storejournal.expense_amount AS [$],storejournal.free_form_description AS [Desc],storejournal.gltranslation_code AS [GL Translation],storejournal.virtualdrawer_code AS Drawer  FROM virtualdrawer INNER JOIN storejournal ON virtualdrawer.virtualdrawer_code = storejournal.virtualdrawer_code  WHERE (virtualdrawer.issued_date_time &lt; CONVERT(DATETIME, ' 2021-04-01 00:00:00', 102))       AND (virtualdrawer.reconciled_date_time &gt; CONVERT(DATETIME, ' 2021-04-01 00:00:00', 102))        AND (storejournal.gltranslation_code &lt;&gt; 'CC'); "/>
  </connection>
  <connection id="9" xr16:uid="{1197EB8D-87EB-40CA-B47A-81617A4F797A}" name="Connection16" type="1" refreshedVersion="6" savePassword="1" saveData="1">
    <dbPr connection="DRIVER=SQL Server;SERVER=192.168.1.40;UID=sa;PWD=W@rdyIT01;APP=Microsoft Office 2003;WSID=SCOTTP;DATABASE=rms" command=" Use RMS;  SELECT cluster_code as store_code,tendertype_mnemonic as tender_type, sum(tenderline.tender_value) as tender_amount  FROM sale as s (nolock)  INNER JOIN tenderline (nolock) on s.sale_code = tenderline.source_doc_code  WHERE(transaction_date_time between ' 2021-04-30 21:00:00 ' and ' 2021-04-30 23:59:59' AND LEFT(s.cluster_code,1) in ('2','3','7','9'))  OR (transaction_date_time between ' 2021-04-30 21:00:00 ' and ' 2021-04-30 23:59:59' AND LEFT(s.cluster_code,1) in ('4'))  OR (transaction_date_time between ' 2021-04-30 20:30:00 ' and ' 2021-04-30 23:59:59' AND LEFT(s.cluster_code,1) in ('5'))  OR (transaction_date_time between ' 2021-04-30 20:30:00 ' and ' 2021-04-30 23:59:59' AND LEFT(s.cluster_code,1) in ('8'))  OR (transaction_date_time between ' 2021-04-30 19:00:00 ' and ' 2021-04-30 23:59:59' AND LEFT(s.cluster_code,1) in ('6'))  GROUP BY cluster_code, tendertype_mnemonic  ORDER BY cluster_code; "/>
  </connection>
  <connection id="10" xr16:uid="{DDA3D11D-D978-4DB4-BE66-C15B05D422AE}" name="Connection17" type="1" refreshedVersion="6" savePassword="1" saveData="1">
    <dbPr connection="DRIVER=SQL Server;SERVER=192.168.1.40;UID=sa;PWD=W@rdyIT01;APP=Microsoft Office 2003;WSID=SCOTTP;DATABASE=rms" command=" Use RMS;  SELECT sale.store_code , sale.virtualdrawer_code as midnightdrawer_code, sale.transaction_date_time, tenderline.tendertype_mnemonic as tendertype, sale.net_tran_total as tran_total FROM sale LEFT JOIN tenderline ON sale.sale_code=tenderline.source_doc_code  WHERE ( sale.virtualdrawer_code IN (  SELECT storejournal.virtualdrawer_code  FROM virtualdrawer  LEFT JOIN storejournal ON virtualdrawer.virtualdrawer_code = storejournal.virtualdrawer_code  WHERE (virtualdrawer.issued_date_time &lt; CONVERT(DATETIME, ' 2021-04-01 00:00:00', 102))  AND (virtualdrawer.reconciled_date_time &gt; CONVERT(DATETIME, ' 2021-04-01 00:00:00', 102))  AND (storejournal.gltranslation_code &lt;&gt; 'CC')  ))  ORDER BY sale.store_code,sale.transaction_date_time; "/>
  </connection>
  <connection id="11" xr16:uid="{E9DB8157-B929-4DFF-9098-481391D80C30}" name="Connection18" type="1" refreshedVersion="6" savePassword="1" saveData="1">
    <dbPr connection="DRIVER=SQL Server;SERVER=192.168.1.40;UID=sa;PWD=W@rdyIT01;APP=Microsoft Office 2003;WSID=SCOTTP;DATABASE=rms" command=" Use RMS;  SELECT virtualdrawer.issued_date_time AS [Issued Date], virtualdrawer.reconciled_date_time AS [Rec Date],storejournal.store_code AS Store, storejournal.transaction_date_time AS [GL Trans Date],storejournal.gl_company_code AS Co,storejournal.gl_description AS [GL Desc],storejournal.gl_account_code AS Account,storejournal.expense_amount AS [$],storejournal.free_form_description AS [Desc],storejournal.gltranslation_code AS [GL Translation],storejournal.virtualdrawer_code AS Drawer  FROM virtualdrawer INNER JOIN storejournal ON virtualdrawer.virtualdrawer_code = storejournal.virtualdrawer_code  WHERE (virtualdrawer.issued_date_time &lt; CONVERT(DATETIME, ' 2021-05-01 00:00:00', 102))       AND (virtualdrawer.reconciled_date_time &gt; CONVERT(DATETIME, ' 2021-05-01 00:00:00', 102))        AND (storejournal.gltranslation_code &lt;&gt; 'CC'); "/>
  </connection>
  <connection id="12" xr16:uid="{4F24E689-DAD9-4E0D-8AC9-3E77C86FE3A8}" name="Connection19" type="1" refreshedVersion="6" savePassword="1" saveData="1">
    <dbPr connection="DRIVER=SQL Server;SERVER=192.168.1.40;UID=sa;PWD=W@rdyIT01;APP=Microsoft Office 2003;WSID=SCOTTP;DATABASE=rms" command=" Use RMS;  SELECT sale.store_code , sale.virtualdrawer_code as midnightdrawer_code, sale.transaction_date_time, tenderline.tendertype_mnemonic as tendertype, sale.net_tran_total as tran_total FROM sale LEFT JOIN tenderline ON sale.sale_code=tenderline.source_doc_code  WHERE ( sale.virtualdrawer_code IN (  SELECT storejournal.virtualdrawer_code  FROM virtualdrawer  LEFT JOIN storejournal ON virtualdrawer.virtualdrawer_code = storejournal.virtualdrawer_code  WHERE (virtualdrawer.issued_date_time &lt; CONVERT(DATETIME, ' 2021-05-01 00:00:00', 102))  AND (virtualdrawer.reconciled_date_time &gt; CONVERT(DATETIME, ' 2021-05-01 00:00:00', 102))  AND (storejournal.gltranslation_code &lt;&gt; 'CC')  ))  ORDER BY sale.store_code,sale.transaction_date_time; "/>
  </connection>
  <connection id="13" xr16:uid="{A759C2A2-1C53-4910-914C-B312C2E94422}" name="Connection2" type="1" refreshedVersion="0" savePassword="1" background="1" saveData="1">
    <dbPr connection="DRIVER=SQL Server;SERVER=192.168.1.40;UID=sa;PWD=W@rdyIT01;APP=Microsoft Office 2003;WSID=SCOTTP;DATABASE=rms" command=" Use RMS;  SELECT cluster_code as store_code,tendertype_mnemonic as tender_type, sum(tenderline.tender_value) as tender_amount  FROM sale as s (nolock)  INNER JOIN tenderline (nolock) on s.sale_code = tenderline.source_doc_code  WHERE(transaction_date_time between ' 2021-02-2821:00:00 ' and ' 2021-02-28 23:59:59' AND LEFT(s.cluster_code,1) in ('2','3','7','9'))  OR (transaction_date_time between ' 2021-02-2820:00:00 ' and ' 2021-02-28 23:59:59' AND LEFT(s.cluster_code,1) in ('4'))  OR (transaction_date_time between ' 2021-02-2820:30:00 ' and ' 2021-02-28 23:59:59' AND LEFT(s.cluster_code,1) in ('5'))  OR (transaction_date_time between ' 2021-02-2819:30:00 ' and ' 2021-02-28 23:59:59' AND LEFT(s.cluster_code,1) in ('8'))  OR (transaction_date_time between ' 2021-02-2818:00:00 ' and ' 2021-02-28 23:59:59' AND LEFT(s.cluster_code,1) in ('6'))  GROUP BY cluster_code, tendertype_mnemonic  ORDER BY cluster_code; "/>
  </connection>
  <connection id="14" xr16:uid="{2E9A3972-7B7B-4E99-B1A3-D9E23516D273}" name="Connection20" type="1" refreshedVersion="7" savePassword="1" saveData="1">
    <dbPr connection="DRIVER=SQL Server;SERVER=192.168.1.40;UID=sa;PWD=W@rdyIT01;APP=Microsoft Office 2003;WSID=SCOTTP;DATABASE=rms" command=" Use RMS;  SELECT cluster_code as store_code,tendertype_mnemonic as tender_type, sum(tenderline.tender_value) as tender_amount  FROM sale as s (nolock)  INNER JOIN tenderline (nolock) on s.sale_code = tenderline.source_doc_code  WHERE(transaction_date_time between ' 2021-05-31 21:00:00 ' and ' 2021-05-31 23:59:59' AND LEFT(s.cluster_code,1) in ('2','3','7','9'))  OR (transaction_date_time between ' 2021-05-31 21:00:00 ' and ' 2021-05-31 23:59:59' AND LEFT(s.cluster_code,1) in ('4'))  OR (transaction_date_time between ' 2021-05-31 20:30:00 ' and ' 2021-05-31 23:59:59' AND LEFT(s.cluster_code,1) in ('5'))  OR (transaction_date_time between ' 2021-05-31 20:30:00 ' and ' 2021-05-31 23:59:59' AND LEFT(s.cluster_code,1) in ('8'))  OR (transaction_date_time between ' 2021-05-31 19:00:00 ' and ' 2021-05-31 23:59:59' AND LEFT(s.cluster_code,1) in ('6'))  GROUP BY cluster_code, tendertype_mnemonic  ORDER BY cluster_code; "/>
  </connection>
  <connection id="15" xr16:uid="{5E19C66D-44E4-4060-9669-95AB2E552B13}" name="Connection21" type="1" refreshedVersion="7" savePassword="1" saveData="1">
    <dbPr connection="DRIVER=SQL Server;SERVER=192.168.1.40;UID=sa;PWD=W@rdyIT01;APP=Microsoft Office 2003;WSID=SCOTTP;DATABASE=rms" command=" Use RMS;  SELECT virtualdrawer.issued_date_time AS [Issued Date], virtualdrawer.reconciled_date_time AS [Rec Date],storejournal.store_code AS Store, storejournal.transaction_date_time AS [GL Trans Date],storejournal.gl_company_code AS Co,storejournal.gl_description AS [GL Desc],storejournal.gl_account_code AS Account,storejournal.expense_amount AS [$],storejournal.free_form_description AS [Desc],storejournal.gltranslation_code AS [GL Translation],storejournal.virtualdrawer_code AS Drawer  FROM virtualdrawer INNER JOIN storejournal ON virtualdrawer.virtualdrawer_code = storejournal.virtualdrawer_code  WHERE (virtualdrawer.issued_date_time &lt; CONVERT(DATETIME, ' 2021-05-01 00:00:00', 102))       AND (virtualdrawer.reconciled_date_time &gt; CONVERT(DATETIME, ' 2021-05-01 00:00:00', 102))        AND (storejournal.gltranslation_code &lt;&gt; 'CC'); "/>
  </connection>
  <connection id="16" xr16:uid="{F97DD764-D4D6-4F0A-98B1-4DAC333786F4}" name="Connection22" type="1" refreshedVersion="7" savePassword="1" saveData="1">
    <dbPr connection="DRIVER=SQL Server;SERVER=192.168.1.40;UID=sa;PWD=W@rdyIT01;APP=Microsoft Office 2003;WSID=SCOTTP;DATABASE=rms" command=" Use RMS;  SELECT virtualdrawer.issued_date_time AS [Issued Date], virtualdrawer.reconciled_date_time AS [Rec Date],storejournal.store_code AS Store, storejournal.transaction_date_time AS [GL Trans Date],storejournal.gl_company_code AS Co,storejournal.gl_description AS [GL Desc],storejournal.gl_account_code AS Account,storejournal.expense_amount AS [$],storejournal.free_form_description AS [Desc],storejournal.gltranslation_code AS [GL Translation],storejournal.virtualdrawer_code AS Drawer  FROM virtualdrawer INNER JOIN storejournal ON virtualdrawer.virtualdrawer_code = storejournal.virtualdrawer_code  WHERE (virtualdrawer.issued_date_time &lt; CONVERT(DATETIME, ' 2021-06-01 00:00:00', 102))       AND (virtualdrawer.reconciled_date_time &gt; CONVERT(DATETIME, ' 2021-06-01 00:00:00', 102))        AND (storejournal.gltranslation_code &lt;&gt; 'CC'); "/>
  </connection>
  <connection id="17" xr16:uid="{DD8B7101-3010-4D37-B5C5-8E39F83963EA}" name="Connection23" type="1" refreshedVersion="7" savePassword="1" saveData="1">
    <dbPr connection="DRIVER=SQL Server;SERVER=192.168.1.40;UID=sa;PWD=W@rdyIT01;APP=Microsoft Office 2003;WSID=SCOTTP;DATABASE=rms" command=" Use RMS;  SELECT sale.store_code , sale.virtualdrawer_code as midnightdrawer_code, sale.transaction_date_time, tenderline.tendertype_mnemonic as tendertype, sale.net_tran_total as tran_total FROM sale LEFT JOIN tenderline ON sale.sale_code=tenderline.source_doc_code  WHERE ( sale.virtualdrawer_code IN (  SELECT storejournal.virtualdrawer_code  FROM virtualdrawer  LEFT JOIN storejournal ON virtualdrawer.virtualdrawer_code = storejournal.virtualdrawer_code  WHERE (virtualdrawer.issued_date_time &lt; CONVERT(DATETIME, ' 2021-06-01 00:00:00', 102))  AND (virtualdrawer.reconciled_date_time &gt; CONVERT(DATETIME, ' 2021-06-01 00:00:00', 102))  AND (storejournal.gltranslation_code &lt;&gt; 'CC')  ))  ORDER BY sale.store_code,sale.transaction_date_time; "/>
  </connection>
  <connection id="18" xr16:uid="{20FD57D3-9813-40A1-896E-E835070D95BB}" name="Connection24" type="1" refreshedVersion="7" savePassword="1" saveData="1">
    <dbPr connection="DRIVER=SQL Server;SERVER=192.168.1.40;UID=sa;PWD=W@rdyIT01;APP=Microsoft Office 2003;WSID=SCOTTP;DATABASE=rms" command=" Use RMS;  SELECT sale.store_code , sale.virtualdrawer_code as midnightdrawer_code, sale.transaction_date_time, tenderline.tendertype_mnemonic as tendertype, sale.net_tran_total as tran_total FROM sale LEFT JOIN tenderline ON sale.sale_code=tenderline.source_doc_code  WHERE ( sale.virtualdrawer_code IN (  SELECT storejournal.virtualdrawer_code  FROM virtualdrawer  LEFT JOIN storejournal ON virtualdrawer.virtualdrawer_code = storejournal.virtualdrawer_code  WHERE (virtualdrawer.issued_date_time &lt; CONVERT(DATETIME, ' 2021-06-01 00:00:00', 102))  AND (virtualdrawer.reconciled_date_time &gt; CONVERT(DATETIME, ' 2021-06-01 00:00:00', 102))  AND (storejournal.gltranslation_code &lt;&gt; 'CC')  ))  ORDER BY sale.store_code,sale.transaction_date_time; "/>
  </connection>
  <connection id="19" xr16:uid="{B5249959-B06E-4AFF-A7E6-1AF9212F8D8F}" name="Connection3" type="1" refreshedVersion="6" savePassword="1" saveData="1">
    <dbPr connection="DRIVER=SQL Server;SERVER=192.168.1.40;UID=sa;PWD=W@rdyIT01;APP=Microsoft Office 2003;WSID=SCOTTP;DATABASE=rms" command=" Use RMS;  SELECT cluster_code as store_code,tendertype_mnemonic as tender_type, sum(tenderline.tender_value) as tender_amount  FROM sale as s (nolock)  INNER JOIN tenderline (nolock) on s.sale_code = tenderline.source_doc_code  WHERE(transaction_date_time between ' 2021-02-28 21:00:00 ' and ' 2021-02-28 23:59:59' AND LEFT(s.cluster_code,1) in ('2','3','7','9'))  OR (transaction_date_time between ' 2021-02-28 20:00:00 ' and ' 2021-02-28 23:59:59' AND LEFT(s.cluster_code,1) in ('4'))  OR (transaction_date_time between ' 2021-02-28 20:30:00 ' and ' 2021-02-28 23:59:59' AND LEFT(s.cluster_code,1) in ('5'))  OR (transaction_date_time between ' 2021-02-28 19:30:00 ' and ' 2021-02-28 23:59:59' AND LEFT(s.cluster_code,1) in ('8'))  OR (transaction_date_time between ' 2021-02-28 18:00:00 ' and ' 2021-02-28 23:59:59' AND LEFT(s.cluster_code,1) in ('6'))  GROUP BY cluster_code, tendertype_mnemonic  ORDER BY cluster_code; "/>
  </connection>
  <connection id="20" xr16:uid="{9BC55AB6-8BB7-45FD-B90B-BA2C2DF98AD0}" name="Connection4" type="1" refreshedVersion="6" savePassword="1" saveData="1">
    <dbPr connection="DRIVER=SQL Server;SERVER=192.168.1.40;UID=sa;PWD=W@rdyIT01;APP=Microsoft Office 2003;WSID=SCOTTP;DATABASE=rms" command=" Use RMS;  SELECT sale.store_code , sale.virtualdrawer_code, sale.transaction_date_time, tenderline.tendertype_mnemonic, sale.net_tran_total  FROM sale LEFT JOIN tenderline ON sale.sale_code=tenderline.source_doc_code  WHERE ( sale.virtualdrawer_code IN (  SELECT storejournal.virtualdrawer_code  FROM virtualdrawer  LEFT JOIN storejournal ON virtualdrawer.virtualdrawer_code = storejournal.virtualdrawer_code  WHERE (virtualdrawer.issued_date_time &lt; CONVERT(DATETIME, ' 2021-03-01 00:00:00', 102))  AND (virtualdrawer.reconciled_date_time &gt; CONVERT(DATETIME, ' 2021-03-01 00:00:00', 102))  AND (storejournal.gltranslation_code &lt;&gt; 'CC')  ));"/>
  </connection>
  <connection id="21" xr16:uid="{901A3898-B135-4B6F-8F00-168968BD7EC8}" name="Connection5" type="1" refreshedVersion="6" savePassword="1" saveData="1">
    <dbPr connection="DRIVER=SQL Server;SERVER=192.168.1.40;UID=sa;PWD=W@rdyIT01;APP=Microsoft Office 2003;WSID=SCOTTP;DATABASE=rms" command=" Use RMS;  SELECT sale.store_code , sale.virtualdrawer_code, sale.transaction_date_time, tenderline.tendertype_mnemonic, sale.net_tran_total  FROM sale LEFT JOIN tenderline ON sale.sale_code=tenderline.source_doc_code  WHERE ( sale.virtualdrawer_code IN (  SELECT storejournal.virtualdrawer_code  FROM virtualdrawer  LEFT JOIN storejournal ON virtualdrawer.virtualdrawer_code = storejournal.virtualdrawer_code  WHERE (virtualdrawer.issued_date_time &lt; CONVERT(DATETIME, ' 2021-03-01 00:00:00', 102))  AND (virtualdrawer.reconciled_date_time &gt; CONVERT(DATETIME, ' 2021-03-01 00:00:00', 102))  AND (storejournal.gltranslation_code &lt;&gt; 'CC')  ))  ORDER BY sale.store_code,sale.transaction_date_time; "/>
  </connection>
  <connection id="22" xr16:uid="{517BBE11-4B23-4425-8EE7-2DAF44BA2E8B}" name="Connection6" type="1" refreshedVersion="6" savePassword="1" saveData="1">
    <dbPr connection="DRIVER=SQL Server;SERVER=192.168.1.40;UID=sa;PWD=W@rdyIT01;APP=Microsoft Office 2003;WSID=SCOTTP;DATABASE=rms" command=" Use RMS;  SELECT sale.store_code , sale.virtualdrawer_code as midnightdrawer_code, sale.transaction_date_time, tenderline.tendertype_mnemonic as tendertype, sale.net_tran_total as tran_total FROM sale LEFT JOIN tenderline ON sale.sale_code=tenderline.source_doc_code  WHERE ( sale.virtualdrawer_code IN (  SELECT storejournal.virtualdrawer_code  FROM virtualdrawer  LEFT JOIN storejournal ON virtualdrawer.virtualdrawer_code = storejournal.virtualdrawer_code  WHERE (virtualdrawer.issued_date_time &lt; CONVERT(DATETIME, ' 2021-03-01 00:00:00', 102))  AND (virtualdrawer.reconciled_date_time &gt; CONVERT(DATETIME, ' 2021-03-01 00:00:00', 102))  AND (storejournal.gltranslation_code &lt;&gt; 'CC')  ))  ORDER BY sale.store_code,sale.transaction_date_time; "/>
  </connection>
  <connection id="23" xr16:uid="{05560599-E56D-48DB-8D7C-4847C9658025}" name="Connection7" type="1" refreshedVersion="6" savePassword="1" saveData="1">
    <dbPr connection="DRIVER=SQL Server;SERVER=192.168.1.40;UID=sa;PWD=W@rdyIT01;APP=Microsoft Office 2003;WSID=SCOTTP;DATABASE=rms" command=" Use RMS;  SELECT virtualdrawer.issued_date_time AS [Issued Date], virtualdrawer.reconciled_date_time AS [Rec Date],storejournal.store_code AS Store, storejournal.transaction_date_time AS [GL Trans Date],storejournal.gl_company_code AS Co,storejournal.gl_description AS [GL Desc],storejournal.gl_account_code AS Account,storejournal.expense_amount AS [$],storejournal.free_form_description AS [Desc],storejournal.gltranslation_code AS [GL Translation],storejournal.virtualdrawer_code AS Drawer  FROM virtualdrawer INNER JOIN storejournal ON virtualdrawer.virtualdrawer_code = storejournal.virtualdrawer_code  WHERE (virtualdrawer.issued_date_time &lt; CONVERT(DATETIME, ' 2021-02-28 00:00:00', 102))  AND     (virtualdrawer.reconciled_date_time &gt; CONVERT(DATETIME, ' 2021-02-28 00:00:00', 102))   AND     (storejournal.gltranslation_code &lt;&gt; 'CC'); "/>
  </connection>
  <connection id="24" xr16:uid="{4645A56F-C5CB-4CF3-BA6B-89B709E2D0E8}" name="Connection8" type="1" refreshedVersion="6" savePassword="1" saveData="1">
    <dbPr connection="DRIVER=SQL Server;SERVER=192.168.1.40;UID=sa;PWD=W@rdyIT01;APP=Microsoft Office 2003;WSID=SCOTTP;DATABASE=rms" command=" Use RMS;  SELECT sale.store_code , sale.virtualdrawer_code as midnightdrawer_code, sale.transaction_date_time, tenderline.tendertype_mnemonic as tendertype, sale.net_tran_total as tran_total FROM sale LEFT JOIN tenderline ON sale.sale_code=tenderline.source_doc_code  WHERE ( sale.virtualdrawer_code IN (  SELECT storejournal.virtualdrawer_code  FROM virtualdrawer  LEFT JOIN storejournal ON virtualdrawer.virtualdrawer_code = storejournal.virtualdrawer_code  WHERE (virtualdrawer.issued_date_time &lt; CONVERT(DATETIME, ' 2021-02-28 00:00:00', 102))  AND (virtualdrawer.reconciled_date_time &gt; CONVERT(DATETIME, ' 2021-02-28 00:00:00', 102))  AND (storejournal.gltranslation_code &lt;&gt; 'CC')  ))  ORDER BY sale.store_code,sale.transaction_date_time; "/>
  </connection>
  <connection id="25" xr16:uid="{CA86259B-CFB2-455C-B4C6-C8EBC29A5A20}" name="Connection9" type="1" refreshedVersion="6" savePassword="1" saveData="1">
    <dbPr connection="DRIVER=SQL Server;SERVER=192.168.1.40;UID=sa;PWD=W@rdyIT01;APP=Microsoft Office 2003;WSID=SCOTTP;DATABASE=rms" command=" Use RMS;  SELECT sale.store_code , sale.virtualdrawer_code as midnightdrawer_code, sale.transaction_date_time, tenderline.tendertype_mnemonic as tendertype, sale.net_tran_total as tran_total FROM sale LEFT JOIN tenderline ON sale.sale_code=tenderline.source_doc_code  WHERE ( sale.virtualdrawer_code IN (  SELECT storejournal.virtualdrawer_code  FROM virtualdrawer  LEFT JOIN storejournal ON virtualdrawer.virtualdrawer_code = storejournal.virtualdrawer_code  WHERE (virtualdrawer.issued_date_time &lt; CONVERT(DATETIME, ' 2021-03-01 00:00:00', 102))  AND (virtualdrawer.reconciled_date_time &gt; CONVERT(DATETIME, ' 2021-03-01 00:00:00', 102))  AND (storejournal.gltranslation_code &lt;&gt; 'CC')  ))  ORDER BY sale.store_code,sale.transaction_date_time; "/>
  </connection>
</connections>
</file>

<file path=xl/sharedStrings.xml><?xml version="1.0" encoding="utf-8"?>
<sst xmlns="http://schemas.openxmlformats.org/spreadsheetml/2006/main" count="2559" uniqueCount="247">
  <si>
    <t>Store</t>
  </si>
  <si>
    <t>Account Name:</t>
  </si>
  <si>
    <t>Account Number:</t>
  </si>
  <si>
    <t>Balance Date:</t>
  </si>
  <si>
    <t>Brief description of account:</t>
  </si>
  <si>
    <t>Basis of reconciliation:</t>
  </si>
  <si>
    <t>Balance per GL:</t>
  </si>
  <si>
    <t>Supportable Balance:</t>
  </si>
  <si>
    <t>Variance:</t>
  </si>
  <si>
    <t>Explanation of variance:</t>
  </si>
  <si>
    <t>$</t>
  </si>
  <si>
    <t>Month</t>
  </si>
  <si>
    <t>Notes:</t>
  </si>
  <si>
    <t>Prepared By:</t>
  </si>
  <si>
    <t xml:space="preserve">Date: </t>
  </si>
  <si>
    <t xml:space="preserve">Reviewed By: </t>
  </si>
  <si>
    <t>Explanation</t>
  </si>
  <si>
    <t>Amount</t>
  </si>
  <si>
    <t>Total Variance</t>
  </si>
  <si>
    <t>Spreadsheet</t>
  </si>
  <si>
    <t xml:space="preserve">Represents EFT clearing </t>
  </si>
  <si>
    <t>Debtors - EFT Clearing balance per GL is compared to RMS POS Tender Usage Report</t>
  </si>
  <si>
    <t>Supportable Balance</t>
  </si>
  <si>
    <t>RMS</t>
  </si>
  <si>
    <t>8188</t>
  </si>
  <si>
    <t>2004 - Carry On T2 Syd</t>
  </si>
  <si>
    <t>2009 - AW T2 Syd Dom</t>
  </si>
  <si>
    <t>2012 - AW Sydney Domes</t>
  </si>
  <si>
    <t>2013 - Carri On Sydney</t>
  </si>
  <si>
    <t>2120 - IB Syd Landside</t>
  </si>
  <si>
    <t>2128 - AA Lansdise SYD</t>
  </si>
  <si>
    <t>2131 - Produce Landsid</t>
  </si>
  <si>
    <t>2136 - Think Aust Mad</t>
  </si>
  <si>
    <t>2137 - Think Syd PierC</t>
  </si>
  <si>
    <t>2230 - Australian Way</t>
  </si>
  <si>
    <t>2231 - Think Syd B</t>
  </si>
  <si>
    <t>2450 - NT Newcastle</t>
  </si>
  <si>
    <t>3019 - AW Melbourne Do</t>
  </si>
  <si>
    <t>3025 - AW Melbourne Li</t>
  </si>
  <si>
    <t>3028 - AW Melbourne &amp;</t>
  </si>
  <si>
    <t>3034 - Carri On Melbou</t>
  </si>
  <si>
    <t>3175 - AW Melb Land</t>
  </si>
  <si>
    <t>3213 - CarryOn Melb II</t>
  </si>
  <si>
    <t>4005 - AW Brisbane Dom</t>
  </si>
  <si>
    <t>4024 - NT Express Bris</t>
  </si>
  <si>
    <t>4036 - AW Brisbane Dom</t>
  </si>
  <si>
    <t>4085 - Carri On Brisb</t>
  </si>
  <si>
    <t>4100 - NT Sunshine</t>
  </si>
  <si>
    <t>4115 - NT Kiosk Bris</t>
  </si>
  <si>
    <t>4145 - NT Common User</t>
  </si>
  <si>
    <t>4149 - Aero Brisbane V</t>
  </si>
  <si>
    <t>4155 - CO Bris Virgin</t>
  </si>
  <si>
    <t>4157 - Aero Sat Virgin</t>
  </si>
  <si>
    <t>4170 - NT Brisbane Lan</t>
  </si>
  <si>
    <t>4235 - AW Brisbane Int</t>
  </si>
  <si>
    <t>4239 - NT CU Satellite</t>
  </si>
  <si>
    <t>4244 - Merino Collecti</t>
  </si>
  <si>
    <t>4530 - DJ Bris Air</t>
  </si>
  <si>
    <t>4770 - NT Bris Airside</t>
  </si>
  <si>
    <t>4775 - AW Brisbane Air</t>
  </si>
  <si>
    <t>5053 - AW Adelaide Int</t>
  </si>
  <si>
    <t>5192 - Carry On Ade</t>
  </si>
  <si>
    <t>6026 - AW Perth Int Ai</t>
  </si>
  <si>
    <t>6087 - AW Perth Intern</t>
  </si>
  <si>
    <t>6165 - AW Perth Domest</t>
  </si>
  <si>
    <t>7064 - AW Hobart</t>
  </si>
  <si>
    <t>7078 - Runway News Hob</t>
  </si>
  <si>
    <t>7079 - Tasmania &amp; Beyo</t>
  </si>
  <si>
    <t>8006 - AW Alice Spring</t>
  </si>
  <si>
    <t>8188 - NT Darwin Dom</t>
  </si>
  <si>
    <t>8190 - Darwin NT Airsi</t>
  </si>
  <si>
    <t>8196 - Rip Curl Darwin</t>
  </si>
  <si>
    <t>EFT Clearing</t>
  </si>
  <si>
    <t>Total Prds</t>
  </si>
  <si>
    <t>Period 0</t>
  </si>
  <si>
    <t>Period 1</t>
  </si>
  <si>
    <t>Period 2</t>
  </si>
  <si>
    <t>Period 3</t>
  </si>
  <si>
    <t>Period 4</t>
  </si>
  <si>
    <t>Period 5</t>
  </si>
  <si>
    <t>Period 6</t>
  </si>
  <si>
    <t>Period 7</t>
  </si>
  <si>
    <t>Period 8</t>
  </si>
  <si>
    <t>Period 9</t>
  </si>
  <si>
    <t>Period 10</t>
  </si>
  <si>
    <t>2232 - Merino Pier B</t>
  </si>
  <si>
    <t>2233 - Aust Way Syd LS</t>
  </si>
  <si>
    <t>2234 - Think Syd Lands</t>
  </si>
  <si>
    <t>9990 - Head Office</t>
  </si>
  <si>
    <t>Variance</t>
  </si>
  <si>
    <t>Journal:
Adjusted Balance</t>
  </si>
  <si>
    <t>Journal:
Store Code</t>
  </si>
  <si>
    <t>Bank:
EFT  takings from local cut-off time till midnight</t>
  </si>
  <si>
    <t>RMS:
EFT Sales 
in after-midnight drawers</t>
  </si>
  <si>
    <t>Aftermidnight Sales (From when the drawer open, till midnight)</t>
  </si>
  <si>
    <t>Adjusted T1 Balance</t>
  </si>
  <si>
    <t>Pos Tender (Settlement and Midnight)</t>
  </si>
  <si>
    <t>Needed only for Calculation</t>
  </si>
  <si>
    <t>Add in Tech1</t>
  </si>
  <si>
    <t>Note: These are both sale after settlement and before midnight. The reason column G is higher is it also includes drawer that were reconciled before midnight)</t>
  </si>
  <si>
    <t>These are all AMS</t>
  </si>
  <si>
    <t>Sales post midnight that we need to take out.</t>
  </si>
  <si>
    <t>Sales that had deposits hit out account on the 31st</t>
  </si>
  <si>
    <t>2105 - Carry On T2Temp</t>
  </si>
  <si>
    <r>
      <t xml:space="preserve">RMS: </t>
    </r>
    <r>
      <rPr>
        <b/>
        <sz val="11"/>
        <color rgb="FFFF0000"/>
        <rFont val="Arial"/>
        <family val="2"/>
      </rPr>
      <t>red</t>
    </r>
    <r>
      <rPr>
        <b/>
        <sz val="11"/>
        <rFont val="Arial"/>
        <family val="2"/>
      </rPr>
      <t xml:space="preserve">
EFT sales 
1)after midnight &amp;
2)in after-midnight drawers</t>
    </r>
  </si>
  <si>
    <r>
      <t xml:space="preserve">RMS: </t>
    </r>
    <r>
      <rPr>
        <b/>
        <sz val="11"/>
        <color rgb="FF92D050"/>
        <rFont val="Arial"/>
        <family val="2"/>
      </rPr>
      <t>green</t>
    </r>
    <r>
      <rPr>
        <b/>
        <sz val="11"/>
        <rFont val="Arial"/>
        <family val="2"/>
      </rPr>
      <t xml:space="preserve">
 EFT Sale
1) </t>
    </r>
    <r>
      <rPr>
        <b/>
        <sz val="11"/>
        <color rgb="FFFF0000"/>
        <rFont val="Arial"/>
        <family val="2"/>
      </rPr>
      <t>before</t>
    </r>
    <r>
      <rPr>
        <b/>
        <sz val="11"/>
        <rFont val="Arial"/>
        <family val="2"/>
      </rPr>
      <t xml:space="preserve"> bank cut-off &amp;
2) before mid-night &amp;
3) in after-midnight drawers</t>
    </r>
  </si>
  <si>
    <r>
      <t xml:space="preserve">RMS balance:  </t>
    </r>
    <r>
      <rPr>
        <b/>
        <sz val="12"/>
        <color rgb="FFFFFF00"/>
        <rFont val="Arial"/>
        <family val="2"/>
      </rPr>
      <t>yellow</t>
    </r>
    <r>
      <rPr>
        <b/>
        <sz val="12"/>
        <color theme="1"/>
        <rFont val="Arial"/>
        <family val="2"/>
      </rPr>
      <t xml:space="preserve">
EFT sales 
1) after bank cut-off &amp;
2) before mid-night &amp;
3) in after-midnight drawers</t>
    </r>
  </si>
  <si>
    <t>https://www.australia.gov.au/about-australia/facts-and-figures/time-zones-and-daylight-saving</t>
  </si>
  <si>
    <t>Period 11</t>
  </si>
  <si>
    <t>Period 12</t>
  </si>
  <si>
    <t>store_code</t>
  </si>
  <si>
    <t>Unsupportable Balance:</t>
  </si>
  <si>
    <t>Matt</t>
  </si>
  <si>
    <t>(Enquiry)</t>
  </si>
  <si>
    <t>1161 - Carry On AKL In</t>
  </si>
  <si>
    <t>1171 - Merino Airside</t>
  </si>
  <si>
    <t>2106 - Textilis Syd T2</t>
  </si>
  <si>
    <t>4122 - 153 East Sunshi</t>
  </si>
  <si>
    <t>4200 - News Satellite</t>
  </si>
  <si>
    <t>4201 - News Concourse</t>
  </si>
  <si>
    <t>4203 - N&amp;C Temp Guess</t>
  </si>
  <si>
    <t>6089 - Merino Perth L</t>
  </si>
  <si>
    <t xml:space="preserve">5105 
Opening Balance </t>
  </si>
  <si>
    <t xml:space="preserve">5105 
Period Balance </t>
  </si>
  <si>
    <t>2117 - Carry On T2 Syd</t>
  </si>
  <si>
    <t>2118 - Merchant T2 Syd</t>
  </si>
  <si>
    <t>2119 - Merchant T3 Syd</t>
  </si>
  <si>
    <t>4101 - News@BNE NC</t>
  </si>
  <si>
    <t>4102 - NE@BNE ANorth</t>
  </si>
  <si>
    <t>4103 - NE@ BNE ASouth</t>
  </si>
  <si>
    <t>4104 - Xpress@BNE</t>
  </si>
  <si>
    <t>4106 - News@BNE CC</t>
  </si>
  <si>
    <t>4109 - News@BNE NS</t>
  </si>
  <si>
    <t>8030 - News Travels AS</t>
  </si>
  <si>
    <t>4110 - News@BNE CS</t>
  </si>
  <si>
    <t xml:space="preserve"> </t>
  </si>
  <si>
    <t>3228 - NC CollinsPlace</t>
  </si>
  <si>
    <t>4107 - News@BNE Qantas</t>
  </si>
  <si>
    <t>6176 - Merchant Perth</t>
  </si>
  <si>
    <t>4108 - News@BNE SS</t>
  </si>
  <si>
    <t>1085 - Around Airside</t>
  </si>
  <si>
    <t>1181 - Cape to Bluff</t>
  </si>
  <si>
    <t>2225 - News@CBR</t>
  </si>
  <si>
    <t>4250 - News@MKY</t>
  </si>
  <si>
    <t>Reason for Unsupportable Balance</t>
  </si>
  <si>
    <t>2139 - AA Syd Temp</t>
  </si>
  <si>
    <t>MC</t>
  </si>
  <si>
    <t>VISA</t>
  </si>
  <si>
    <t>DEBITDIR</t>
  </si>
  <si>
    <t>transaction_date_time</t>
  </si>
  <si>
    <t>6176</t>
  </si>
  <si>
    <t>tender_type</t>
  </si>
  <si>
    <t>tender_amount</t>
  </si>
  <si>
    <t>4106</t>
  </si>
  <si>
    <t>Enter End-Of-Month Date:</t>
  </si>
  <si>
    <t>Currently Using:</t>
  </si>
  <si>
    <t>21:00:00</t>
  </si>
  <si>
    <t>20:30:00</t>
  </si>
  <si>
    <t>19:00:00</t>
  </si>
  <si>
    <t>20:00:00</t>
  </si>
  <si>
    <t>19:30:00</t>
  </si>
  <si>
    <t>18:00:00</t>
  </si>
  <si>
    <t>Total:</t>
  </si>
  <si>
    <t>Region</t>
  </si>
  <si>
    <t>ESTTime</t>
  </si>
  <si>
    <t>QLDTime</t>
  </si>
  <si>
    <t>SATime</t>
  </si>
  <si>
    <t>WATime</t>
  </si>
  <si>
    <t>NTTime</t>
  </si>
  <si>
    <t>TimeName</t>
  </si>
  <si>
    <t>Region Cut Off Time</t>
  </si>
  <si>
    <t>TimeSeries of Bank Cut off Time</t>
  </si>
  <si>
    <t>midnightdrawer_code</t>
  </si>
  <si>
    <t>tendertype</t>
  </si>
  <si>
    <t>tran_total</t>
  </si>
  <si>
    <t>Category: Before Bank Cut Off/After Bank Cut-off Before Midnight/After Midnight</t>
  </si>
  <si>
    <t>Issued Date</t>
  </si>
  <si>
    <t>Rec Date</t>
  </si>
  <si>
    <t>GL Trans Date</t>
  </si>
  <si>
    <t>Co</t>
  </si>
  <si>
    <t>GL Desc</t>
  </si>
  <si>
    <t>Account</t>
  </si>
  <si>
    <t>Desc</t>
  </si>
  <si>
    <t>GL Translation</t>
  </si>
  <si>
    <t>Drawer</t>
  </si>
  <si>
    <t>AUSWAY</t>
  </si>
  <si>
    <t>All EFT except Charge Cards</t>
  </si>
  <si>
    <t>5105</t>
  </si>
  <si>
    <t>TEFT</t>
  </si>
  <si>
    <t>Gross Sales Separation Type 01</t>
  </si>
  <si>
    <t>1000</t>
  </si>
  <si>
    <t>GRSALE01</t>
  </si>
  <si>
    <t>GST</t>
  </si>
  <si>
    <t>6050</t>
  </si>
  <si>
    <t>Enter MidNight Date:</t>
  </si>
  <si>
    <t>Cut Off Time 
On Standard Time</t>
  </si>
  <si>
    <t>Cut Off Time On 
Day Light Saving Time</t>
  </si>
  <si>
    <t>3PP-Item Sales where ItemGLGroup not recorded</t>
  </si>
  <si>
    <t>DEF_SALES</t>
  </si>
  <si>
    <t>Discount Type 01</t>
  </si>
  <si>
    <t>DISC01</t>
  </si>
  <si>
    <t>Debtor-Amex</t>
  </si>
  <si>
    <t>5103</t>
  </si>
  <si>
    <t>TAMEX</t>
  </si>
  <si>
    <t xml:space="preserve">5105 
Total Balance
</t>
  </si>
  <si>
    <t>2021-05-31</t>
  </si>
  <si>
    <t>2021-06-01</t>
  </si>
  <si>
    <t>Session 818805003333 Date 01/06/2021 [TEFT]</t>
  </si>
  <si>
    <t>818805003333</t>
  </si>
  <si>
    <t>Session 818805003333 Date 01/06/2021 [TAMEX]</t>
  </si>
  <si>
    <t>Session 818805003333 Date 01/06/2021 [GRSALE01]</t>
  </si>
  <si>
    <t>Session 818805003333 Date 01/06/2021 [DISC01]</t>
  </si>
  <si>
    <t>Session 818805003333 Date 01/06/2021 [GST]</t>
  </si>
  <si>
    <t>Session 818805003333 Date 01/06/2021 [DEF_SALES]</t>
  </si>
  <si>
    <t>Sale Price rounding due to Transaction Discounts</t>
  </si>
  <si>
    <t>Session 818801005724 Date 01/06/2021 [DD]</t>
  </si>
  <si>
    <t>DD</t>
  </si>
  <si>
    <t>818801005724</t>
  </si>
  <si>
    <t>3PP-Discounts without ItemGLGroup recorded</t>
  </si>
  <si>
    <t>Session 818801005724 Date 01/06/2021 [DEF_DISC]</t>
  </si>
  <si>
    <t>DEF_DISC</t>
  </si>
  <si>
    <t>Session 818801005724 Date 01/06/2021 [DEF_SALES]</t>
  </si>
  <si>
    <t>Session 818801005724 Date 01/06/2021 [GST]</t>
  </si>
  <si>
    <t>Session 818801005724 Date 01/06/2021 [DISC01]</t>
  </si>
  <si>
    <t>Session 818801005724 Date 01/06/2021 [GRSALE01]</t>
  </si>
  <si>
    <t>Session 818801005724 Date 01/06/2021 [TEFT]</t>
  </si>
  <si>
    <t>POS Drawer Errors</t>
  </si>
  <si>
    <t>3650</t>
  </si>
  <si>
    <t>Session 818801005724 Date 01/06/2021 [DS]</t>
  </si>
  <si>
    <t>DS</t>
  </si>
  <si>
    <t>Bankable Tenders Reconciled Not Banked</t>
  </si>
  <si>
    <t>5102</t>
  </si>
  <si>
    <t>Session 818801005724 Date 31/05/2021 [MONEYCONTROL</t>
  </si>
  <si>
    <t>MONEYCONTROL</t>
  </si>
  <si>
    <t>POS Drawer Counts</t>
  </si>
  <si>
    <t>Session 818801005724 Date 31/05/2021 [DCS]</t>
  </si>
  <si>
    <t>DCS</t>
  </si>
  <si>
    <t>4100</t>
  </si>
  <si>
    <t xml:space="preserve">Session 410001004434 Bankable Payments offsetting </t>
  </si>
  <si>
    <t>410001004434</t>
  </si>
  <si>
    <t>Session 410001004434 Date 01/06/2021 [DS]</t>
  </si>
  <si>
    <t>double charged 45.57 on 30 May; transactions totalling $73.54 didn't go through RMS; monies were receipted</t>
  </si>
  <si>
    <t xml:space="preserve">SJ amount on 14 May 2021 is negative 44.96, probably due to incorrect drawer reconciliations. </t>
  </si>
  <si>
    <t>A transaction of $70.99 on 20 May 20201 didn't go through RMS.</t>
  </si>
  <si>
    <t>3 transactions didn't go through RMS: 22, 26,31 May 2021</t>
  </si>
  <si>
    <t xml:space="preserve">on 15 May 2021, an EFTPOS transaction wasn't receipted. </t>
  </si>
  <si>
    <t>Receipted extra $334.95 for 26/27 May; no sales transactions records whatsoever.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</si>
</sst>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_-* #,##0.00_-;\-* #,##0.00_-;_-* &quot;-&quot;??_-;_-@_-"/>
    <numFmt numFmtId="165" formatCode="#,##0;\(#,##0\)"/>
    <numFmt numFmtId="166" formatCode="#,##0.00;\(#,##0.00\)"/>
    <numFmt numFmtId="167" formatCode="d/mm/yyyy\ "/>
  </numFmts>
  <fonts count="121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sz val="8"/>
      <name val="Arial"/>
      <family val="2"/>
    </font>
    <font>
      <b/>
      <i/>
      <u/>
      <sz val="10"/>
      <name val="Arial"/>
      <family val="2"/>
    </font>
    <font>
      <i/>
      <u/>
      <sz val="10"/>
      <name val="Arial"/>
      <family val="2"/>
    </font>
    <font>
      <b/>
      <i/>
      <sz val="10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b/>
      <sz val="11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sz val="11"/>
      <color rgb="FFFF0000"/>
      <name val="Calibri"/>
      <family val="2"/>
      <scheme val="minor"/>
    </font>
    <font>
      <sz val="10"/>
      <name val="Arial"/>
      <family val="2"/>
    </font>
    <font>
      <sz val="11"/>
      <color indexed="8"/>
      <name val="Calibri"/>
      <family val="2"/>
      <scheme val="minor"/>
    </font>
    <font>
      <b/>
      <sz val="11"/>
      <color rgb="FFFF0000"/>
      <name val="Arial"/>
      <family val="2"/>
    </font>
    <font>
      <b/>
      <sz val="11"/>
      <color rgb="FF92D050"/>
      <name val="Arial"/>
      <family val="2"/>
    </font>
    <font>
      <b/>
      <sz val="12"/>
      <color rgb="FFFFFF00"/>
      <name val="Arial"/>
      <family val="2"/>
    </font>
    <font>
      <u/>
      <sz val="10"/>
      <color theme="10"/>
      <name val="Arial"/>
      <family val="2"/>
    </font>
    <font>
      <sz val="10"/>
      <color rgb="FF00000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color theme="1"/>
      <name val="Arial"/>
      <family val="2"/>
    </font>
  </fonts>
  <fills count="62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0000"/>
        <bgColor indexed="64"/>
      </patternFill>
    </fill>
  </fills>
  <borders count="28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368">
    <xf numFmtId="0" fontId="0" fillId="0" borderId="0"/>
    <xf numFmtId="0" fontId="76" fillId="2" borderId="0" applyNumberFormat="0" applyBorder="0" applyAlignment="0" applyProtection="0"/>
    <xf numFmtId="0" fontId="76" fillId="3" borderId="0" applyNumberFormat="0" applyBorder="0" applyAlignment="0" applyProtection="0"/>
    <xf numFmtId="0" fontId="76" fillId="4" borderId="0" applyNumberFormat="0" applyBorder="0" applyAlignment="0" applyProtection="0"/>
    <xf numFmtId="0" fontId="76" fillId="5" borderId="0" applyNumberFormat="0" applyBorder="0" applyAlignment="0" applyProtection="0"/>
    <xf numFmtId="0" fontId="76" fillId="6" borderId="0" applyNumberFormat="0" applyBorder="0" applyAlignment="0" applyProtection="0"/>
    <xf numFmtId="0" fontId="76" fillId="7" borderId="0" applyNumberFormat="0" applyBorder="0" applyAlignment="0" applyProtection="0"/>
    <xf numFmtId="0" fontId="76" fillId="8" borderId="0" applyNumberFormat="0" applyBorder="0" applyAlignment="0" applyProtection="0"/>
    <xf numFmtId="0" fontId="76" fillId="9" borderId="0" applyNumberFormat="0" applyBorder="0" applyAlignment="0" applyProtection="0"/>
    <xf numFmtId="0" fontId="76" fillId="10" borderId="0" applyNumberFormat="0" applyBorder="0" applyAlignment="0" applyProtection="0"/>
    <xf numFmtId="0" fontId="76" fillId="5" borderId="0" applyNumberFormat="0" applyBorder="0" applyAlignment="0" applyProtection="0"/>
    <xf numFmtId="0" fontId="76" fillId="8" borderId="0" applyNumberFormat="0" applyBorder="0" applyAlignment="0" applyProtection="0"/>
    <xf numFmtId="0" fontId="76" fillId="11" borderId="0" applyNumberFormat="0" applyBorder="0" applyAlignment="0" applyProtection="0"/>
    <xf numFmtId="0" fontId="77" fillId="12" borderId="0" applyNumberFormat="0" applyBorder="0" applyAlignment="0" applyProtection="0"/>
    <xf numFmtId="0" fontId="77" fillId="9" borderId="0" applyNumberFormat="0" applyBorder="0" applyAlignment="0" applyProtection="0"/>
    <xf numFmtId="0" fontId="77" fillId="10" borderId="0" applyNumberFormat="0" applyBorder="0" applyAlignment="0" applyProtection="0"/>
    <xf numFmtId="0" fontId="77" fillId="13" borderId="0" applyNumberFormat="0" applyBorder="0" applyAlignment="0" applyProtection="0"/>
    <xf numFmtId="0" fontId="77" fillId="14" borderId="0" applyNumberFormat="0" applyBorder="0" applyAlignment="0" applyProtection="0"/>
    <xf numFmtId="0" fontId="77" fillId="15" borderId="0" applyNumberFormat="0" applyBorder="0" applyAlignment="0" applyProtection="0"/>
    <xf numFmtId="0" fontId="77" fillId="16" borderId="0" applyNumberFormat="0" applyBorder="0" applyAlignment="0" applyProtection="0"/>
    <xf numFmtId="0" fontId="77" fillId="17" borderId="0" applyNumberFormat="0" applyBorder="0" applyAlignment="0" applyProtection="0"/>
    <xf numFmtId="0" fontId="77" fillId="18" borderId="0" applyNumberFormat="0" applyBorder="0" applyAlignment="0" applyProtection="0"/>
    <xf numFmtId="0" fontId="77" fillId="13" borderId="0" applyNumberFormat="0" applyBorder="0" applyAlignment="0" applyProtection="0"/>
    <xf numFmtId="0" fontId="77" fillId="14" borderId="0" applyNumberFormat="0" applyBorder="0" applyAlignment="0" applyProtection="0"/>
    <xf numFmtId="0" fontId="77" fillId="19" borderId="0" applyNumberFormat="0" applyBorder="0" applyAlignment="0" applyProtection="0"/>
    <xf numFmtId="0" fontId="78" fillId="3" borderId="0" applyNumberFormat="0" applyBorder="0" applyAlignment="0" applyProtection="0"/>
    <xf numFmtId="0" fontId="79" fillId="20" borderId="1" applyNumberFormat="0" applyAlignment="0" applyProtection="0"/>
    <xf numFmtId="0" fontId="80" fillId="21" borderId="2" applyNumberFormat="0" applyAlignment="0" applyProtection="0"/>
    <xf numFmtId="0" fontId="81" fillId="0" borderId="0" applyNumberFormat="0" applyFill="0" applyBorder="0" applyAlignment="0" applyProtection="0"/>
    <xf numFmtId="0" fontId="82" fillId="4" borderId="0" applyNumberFormat="0" applyBorder="0" applyAlignment="0" applyProtection="0"/>
    <xf numFmtId="0" fontId="83" fillId="0" borderId="3" applyNumberFormat="0" applyFill="0" applyAlignment="0" applyProtection="0"/>
    <xf numFmtId="0" fontId="84" fillId="0" borderId="4" applyNumberFormat="0" applyFill="0" applyAlignment="0" applyProtection="0"/>
    <xf numFmtId="0" fontId="85" fillId="0" borderId="5" applyNumberFormat="0" applyFill="0" applyAlignment="0" applyProtection="0"/>
    <xf numFmtId="0" fontId="85" fillId="0" borderId="0" applyNumberFormat="0" applyFill="0" applyBorder="0" applyAlignment="0" applyProtection="0"/>
    <xf numFmtId="0" fontId="86" fillId="7" borderId="1" applyNumberFormat="0" applyAlignment="0" applyProtection="0"/>
    <xf numFmtId="0" fontId="87" fillId="0" borderId="6" applyNumberFormat="0" applyFill="0" applyAlignment="0" applyProtection="0"/>
    <xf numFmtId="0" fontId="88" fillId="22" borderId="0" applyNumberFormat="0" applyBorder="0" applyAlignment="0" applyProtection="0"/>
    <xf numFmtId="0" fontId="93" fillId="0" borderId="0"/>
    <xf numFmtId="0" fontId="76" fillId="23" borderId="7" applyNumberFormat="0" applyFont="0" applyAlignment="0" applyProtection="0"/>
    <xf numFmtId="0" fontId="89" fillId="20" borderId="8" applyNumberFormat="0" applyAlignment="0" applyProtection="0"/>
    <xf numFmtId="0" fontId="90" fillId="0" borderId="0" applyNumberFormat="0" applyFill="0" applyBorder="0" applyAlignment="0" applyProtection="0"/>
    <xf numFmtId="0" fontId="91" fillId="0" borderId="9" applyNumberFormat="0" applyFill="0" applyAlignment="0" applyProtection="0"/>
    <xf numFmtId="0" fontId="92" fillId="0" borderId="0" applyNumberFormat="0" applyFill="0" applyBorder="0" applyAlignment="0" applyProtection="0"/>
    <xf numFmtId="0" fontId="65" fillId="0" borderId="0"/>
    <xf numFmtId="0" fontId="64" fillId="0" borderId="0"/>
    <xf numFmtId="0" fontId="63" fillId="0" borderId="0"/>
    <xf numFmtId="0" fontId="62" fillId="0" borderId="0"/>
    <xf numFmtId="0" fontId="61" fillId="0" borderId="0"/>
    <xf numFmtId="0" fontId="60" fillId="0" borderId="0"/>
    <xf numFmtId="0" fontId="59" fillId="0" borderId="0"/>
    <xf numFmtId="0" fontId="58" fillId="0" borderId="0"/>
    <xf numFmtId="0" fontId="57" fillId="0" borderId="0"/>
    <xf numFmtId="0" fontId="56" fillId="0" borderId="0"/>
    <xf numFmtId="0" fontId="55" fillId="0" borderId="0"/>
    <xf numFmtId="0" fontId="54" fillId="0" borderId="0"/>
    <xf numFmtId="0" fontId="53" fillId="0" borderId="0"/>
    <xf numFmtId="0" fontId="52" fillId="0" borderId="0"/>
    <xf numFmtId="0" fontId="51" fillId="0" borderId="0"/>
    <xf numFmtId="0" fontId="66" fillId="0" borderId="0"/>
    <xf numFmtId="0" fontId="76" fillId="2" borderId="0" applyNumberFormat="0" applyBorder="0" applyAlignment="0" applyProtection="0"/>
    <xf numFmtId="0" fontId="76" fillId="2" borderId="0" applyNumberFormat="0" applyBorder="0" applyAlignment="0" applyProtection="0"/>
    <xf numFmtId="0" fontId="76" fillId="3" borderId="0" applyNumberFormat="0" applyBorder="0" applyAlignment="0" applyProtection="0"/>
    <xf numFmtId="0" fontId="76" fillId="3" borderId="0" applyNumberFormat="0" applyBorder="0" applyAlignment="0" applyProtection="0"/>
    <xf numFmtId="0" fontId="76" fillId="4" borderId="0" applyNumberFormat="0" applyBorder="0" applyAlignment="0" applyProtection="0"/>
    <xf numFmtId="0" fontId="76" fillId="4" borderId="0" applyNumberFormat="0" applyBorder="0" applyAlignment="0" applyProtection="0"/>
    <xf numFmtId="0" fontId="76" fillId="5" borderId="0" applyNumberFormat="0" applyBorder="0" applyAlignment="0" applyProtection="0"/>
    <xf numFmtId="0" fontId="76" fillId="5" borderId="0" applyNumberFormat="0" applyBorder="0" applyAlignment="0" applyProtection="0"/>
    <xf numFmtId="0" fontId="76" fillId="6" borderId="0" applyNumberFormat="0" applyBorder="0" applyAlignment="0" applyProtection="0"/>
    <xf numFmtId="0" fontId="76" fillId="6" borderId="0" applyNumberFormat="0" applyBorder="0" applyAlignment="0" applyProtection="0"/>
    <xf numFmtId="0" fontId="76" fillId="7" borderId="0" applyNumberFormat="0" applyBorder="0" applyAlignment="0" applyProtection="0"/>
    <xf numFmtId="0" fontId="76" fillId="7" borderId="0" applyNumberFormat="0" applyBorder="0" applyAlignment="0" applyProtection="0"/>
    <xf numFmtId="0" fontId="76" fillId="8" borderId="0" applyNumberFormat="0" applyBorder="0" applyAlignment="0" applyProtection="0"/>
    <xf numFmtId="0" fontId="76" fillId="8" borderId="0" applyNumberFormat="0" applyBorder="0" applyAlignment="0" applyProtection="0"/>
    <xf numFmtId="0" fontId="76" fillId="9" borderId="0" applyNumberFormat="0" applyBorder="0" applyAlignment="0" applyProtection="0"/>
    <xf numFmtId="0" fontId="76" fillId="9" borderId="0" applyNumberFormat="0" applyBorder="0" applyAlignment="0" applyProtection="0"/>
    <xf numFmtId="0" fontId="76" fillId="10" borderId="0" applyNumberFormat="0" applyBorder="0" applyAlignment="0" applyProtection="0"/>
    <xf numFmtId="0" fontId="76" fillId="10" borderId="0" applyNumberFormat="0" applyBorder="0" applyAlignment="0" applyProtection="0"/>
    <xf numFmtId="0" fontId="76" fillId="5" borderId="0" applyNumberFormat="0" applyBorder="0" applyAlignment="0" applyProtection="0"/>
    <xf numFmtId="0" fontId="76" fillId="5" borderId="0" applyNumberFormat="0" applyBorder="0" applyAlignment="0" applyProtection="0"/>
    <xf numFmtId="0" fontId="76" fillId="8" borderId="0" applyNumberFormat="0" applyBorder="0" applyAlignment="0" applyProtection="0"/>
    <xf numFmtId="0" fontId="76" fillId="8" borderId="0" applyNumberFormat="0" applyBorder="0" applyAlignment="0" applyProtection="0"/>
    <xf numFmtId="0" fontId="76" fillId="11" borderId="0" applyNumberFormat="0" applyBorder="0" applyAlignment="0" applyProtection="0"/>
    <xf numFmtId="0" fontId="76" fillId="11" borderId="0" applyNumberFormat="0" applyBorder="0" applyAlignment="0" applyProtection="0"/>
    <xf numFmtId="0" fontId="77" fillId="12" borderId="0" applyNumberFormat="0" applyBorder="0" applyAlignment="0" applyProtection="0"/>
    <xf numFmtId="0" fontId="77" fillId="12" borderId="0" applyNumberFormat="0" applyBorder="0" applyAlignment="0" applyProtection="0"/>
    <xf numFmtId="0" fontId="77" fillId="9" borderId="0" applyNumberFormat="0" applyBorder="0" applyAlignment="0" applyProtection="0"/>
    <xf numFmtId="0" fontId="77" fillId="9" borderId="0" applyNumberFormat="0" applyBorder="0" applyAlignment="0" applyProtection="0"/>
    <xf numFmtId="0" fontId="77" fillId="10" borderId="0" applyNumberFormat="0" applyBorder="0" applyAlignment="0" applyProtection="0"/>
    <xf numFmtId="0" fontId="77" fillId="10" borderId="0" applyNumberFormat="0" applyBorder="0" applyAlignment="0" applyProtection="0"/>
    <xf numFmtId="0" fontId="77" fillId="13" borderId="0" applyNumberFormat="0" applyBorder="0" applyAlignment="0" applyProtection="0"/>
    <xf numFmtId="0" fontId="77" fillId="13" borderId="0" applyNumberFormat="0" applyBorder="0" applyAlignment="0" applyProtection="0"/>
    <xf numFmtId="0" fontId="77" fillId="14" borderId="0" applyNumberFormat="0" applyBorder="0" applyAlignment="0" applyProtection="0"/>
    <xf numFmtId="0" fontId="77" fillId="14" borderId="0" applyNumberFormat="0" applyBorder="0" applyAlignment="0" applyProtection="0"/>
    <xf numFmtId="0" fontId="77" fillId="15" borderId="0" applyNumberFormat="0" applyBorder="0" applyAlignment="0" applyProtection="0"/>
    <xf numFmtId="0" fontId="77" fillId="15" borderId="0" applyNumberFormat="0" applyBorder="0" applyAlignment="0" applyProtection="0"/>
    <xf numFmtId="0" fontId="77" fillId="16" borderId="0" applyNumberFormat="0" applyBorder="0" applyAlignment="0" applyProtection="0"/>
    <xf numFmtId="0" fontId="77" fillId="16" borderId="0" applyNumberFormat="0" applyBorder="0" applyAlignment="0" applyProtection="0"/>
    <xf numFmtId="0" fontId="77" fillId="17" borderId="0" applyNumberFormat="0" applyBorder="0" applyAlignment="0" applyProtection="0"/>
    <xf numFmtId="0" fontId="77" fillId="17" borderId="0" applyNumberFormat="0" applyBorder="0" applyAlignment="0" applyProtection="0"/>
    <xf numFmtId="0" fontId="77" fillId="18" borderId="0" applyNumberFormat="0" applyBorder="0" applyAlignment="0" applyProtection="0"/>
    <xf numFmtId="0" fontId="77" fillId="18" borderId="0" applyNumberFormat="0" applyBorder="0" applyAlignment="0" applyProtection="0"/>
    <xf numFmtId="0" fontId="77" fillId="13" borderId="0" applyNumberFormat="0" applyBorder="0" applyAlignment="0" applyProtection="0"/>
    <xf numFmtId="0" fontId="77" fillId="13" borderId="0" applyNumberFormat="0" applyBorder="0" applyAlignment="0" applyProtection="0"/>
    <xf numFmtId="0" fontId="77" fillId="14" borderId="0" applyNumberFormat="0" applyBorder="0" applyAlignment="0" applyProtection="0"/>
    <xf numFmtId="0" fontId="77" fillId="14" borderId="0" applyNumberFormat="0" applyBorder="0" applyAlignment="0" applyProtection="0"/>
    <xf numFmtId="0" fontId="77" fillId="19" borderId="0" applyNumberFormat="0" applyBorder="0" applyAlignment="0" applyProtection="0"/>
    <xf numFmtId="0" fontId="77" fillId="19" borderId="0" applyNumberFormat="0" applyBorder="0" applyAlignment="0" applyProtection="0"/>
    <xf numFmtId="0" fontId="78" fillId="3" borderId="0" applyNumberFormat="0" applyBorder="0" applyAlignment="0" applyProtection="0"/>
    <xf numFmtId="0" fontId="78" fillId="3" borderId="0" applyNumberFormat="0" applyBorder="0" applyAlignment="0" applyProtection="0"/>
    <xf numFmtId="0" fontId="79" fillId="20" borderId="1" applyNumberFormat="0" applyAlignment="0" applyProtection="0"/>
    <xf numFmtId="0" fontId="79" fillId="20" borderId="1" applyNumberFormat="0" applyAlignment="0" applyProtection="0"/>
    <xf numFmtId="0" fontId="80" fillId="21" borderId="2" applyNumberFormat="0" applyAlignment="0" applyProtection="0"/>
    <xf numFmtId="0" fontId="80" fillId="21" borderId="2" applyNumberFormat="0" applyAlignment="0" applyProtection="0"/>
    <xf numFmtId="0" fontId="81" fillId="0" borderId="0" applyNumberFormat="0" applyFill="0" applyBorder="0" applyAlignment="0" applyProtection="0"/>
    <xf numFmtId="0" fontId="81" fillId="0" borderId="0" applyNumberFormat="0" applyFill="0" applyBorder="0" applyAlignment="0" applyProtection="0"/>
    <xf numFmtId="0" fontId="82" fillId="4" borderId="0" applyNumberFormat="0" applyBorder="0" applyAlignment="0" applyProtection="0"/>
    <xf numFmtId="0" fontId="82" fillId="4" borderId="0" applyNumberFormat="0" applyBorder="0" applyAlignment="0" applyProtection="0"/>
    <xf numFmtId="0" fontId="83" fillId="0" borderId="3" applyNumberFormat="0" applyFill="0" applyAlignment="0" applyProtection="0"/>
    <xf numFmtId="0" fontId="83" fillId="0" borderId="3" applyNumberFormat="0" applyFill="0" applyAlignment="0" applyProtection="0"/>
    <xf numFmtId="0" fontId="84" fillId="0" borderId="4" applyNumberFormat="0" applyFill="0" applyAlignment="0" applyProtection="0"/>
    <xf numFmtId="0" fontId="84" fillId="0" borderId="4" applyNumberFormat="0" applyFill="0" applyAlignment="0" applyProtection="0"/>
    <xf numFmtId="0" fontId="85" fillId="0" borderId="5" applyNumberFormat="0" applyFill="0" applyAlignment="0" applyProtection="0"/>
    <xf numFmtId="0" fontId="85" fillId="0" borderId="5" applyNumberFormat="0" applyFill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7" borderId="1" applyNumberFormat="0" applyAlignment="0" applyProtection="0"/>
    <xf numFmtId="0" fontId="86" fillId="7" borderId="1" applyNumberFormat="0" applyAlignment="0" applyProtection="0"/>
    <xf numFmtId="0" fontId="87" fillId="0" borderId="6" applyNumberFormat="0" applyFill="0" applyAlignment="0" applyProtection="0"/>
    <xf numFmtId="0" fontId="87" fillId="0" borderId="6" applyNumberFormat="0" applyFill="0" applyAlignment="0" applyProtection="0"/>
    <xf numFmtId="0" fontId="88" fillId="22" borderId="0" applyNumberFormat="0" applyBorder="0" applyAlignment="0" applyProtection="0"/>
    <xf numFmtId="0" fontId="88" fillId="22" borderId="0" applyNumberFormat="0" applyBorder="0" applyAlignment="0" applyProtection="0"/>
    <xf numFmtId="0" fontId="76" fillId="23" borderId="7" applyNumberFormat="0" applyFont="0" applyAlignment="0" applyProtection="0"/>
    <xf numFmtId="0" fontId="76" fillId="23" borderId="7" applyNumberFormat="0" applyFont="0" applyAlignment="0" applyProtection="0"/>
    <xf numFmtId="0" fontId="89" fillId="20" borderId="8" applyNumberFormat="0" applyAlignment="0" applyProtection="0"/>
    <xf numFmtId="0" fontId="89" fillId="20" borderId="8" applyNumberFormat="0" applyAlignment="0" applyProtection="0"/>
    <xf numFmtId="0" fontId="90" fillId="0" borderId="0" applyNumberFormat="0" applyFill="0" applyBorder="0" applyAlignment="0" applyProtection="0"/>
    <xf numFmtId="0" fontId="90" fillId="0" borderId="0" applyNumberFormat="0" applyFill="0" applyBorder="0" applyAlignment="0" applyProtection="0"/>
    <xf numFmtId="0" fontId="91" fillId="0" borderId="9" applyNumberFormat="0" applyFill="0" applyAlignment="0" applyProtection="0"/>
    <xf numFmtId="0" fontId="91" fillId="0" borderId="9" applyNumberFormat="0" applyFill="0" applyAlignment="0" applyProtection="0"/>
    <xf numFmtId="0" fontId="92" fillId="0" borderId="0" applyNumberFormat="0" applyFill="0" applyBorder="0" applyAlignment="0" applyProtection="0"/>
    <xf numFmtId="0" fontId="92" fillId="0" borderId="0" applyNumberFormat="0" applyFill="0" applyBorder="0" applyAlignment="0" applyProtection="0"/>
    <xf numFmtId="0" fontId="50" fillId="0" borderId="0"/>
    <xf numFmtId="0" fontId="50" fillId="0" borderId="0"/>
    <xf numFmtId="0" fontId="49" fillId="0" borderId="0"/>
    <xf numFmtId="0" fontId="48" fillId="0" borderId="0"/>
    <xf numFmtId="0" fontId="47" fillId="0" borderId="0"/>
    <xf numFmtId="0" fontId="46" fillId="0" borderId="0"/>
    <xf numFmtId="164" fontId="46" fillId="0" borderId="0" applyFont="0" applyFill="0" applyBorder="0" applyAlignment="0" applyProtection="0"/>
    <xf numFmtId="0" fontId="46" fillId="26" borderId="0" applyNumberFormat="0" applyBorder="0" applyAlignment="0" applyProtection="0"/>
    <xf numFmtId="0" fontId="46" fillId="27" borderId="0" applyNumberFormat="0" applyBorder="0" applyAlignment="0" applyProtection="0"/>
    <xf numFmtId="0" fontId="46" fillId="28" borderId="0" applyNumberFormat="0" applyBorder="0" applyAlignment="0" applyProtection="0"/>
    <xf numFmtId="0" fontId="46" fillId="29" borderId="0" applyNumberFormat="0" applyBorder="0" applyAlignment="0" applyProtection="0"/>
    <xf numFmtId="0" fontId="46" fillId="30" borderId="0" applyNumberFormat="0" applyBorder="0" applyAlignment="0" applyProtection="0"/>
    <xf numFmtId="0" fontId="46" fillId="31" borderId="0" applyNumberFormat="0" applyBorder="0" applyAlignment="0" applyProtection="0"/>
    <xf numFmtId="0" fontId="46" fillId="32" borderId="0" applyNumberFormat="0" applyBorder="0" applyAlignment="0" applyProtection="0"/>
    <xf numFmtId="0" fontId="46" fillId="33" borderId="0" applyNumberFormat="0" applyBorder="0" applyAlignment="0" applyProtection="0"/>
    <xf numFmtId="0" fontId="46" fillId="34" borderId="0" applyNumberFormat="0" applyBorder="0" applyAlignment="0" applyProtection="0"/>
    <xf numFmtId="0" fontId="46" fillId="35" borderId="0" applyNumberFormat="0" applyBorder="0" applyAlignment="0" applyProtection="0"/>
    <xf numFmtId="0" fontId="46" fillId="36" borderId="0" applyNumberFormat="0" applyBorder="0" applyAlignment="0" applyProtection="0"/>
    <xf numFmtId="0" fontId="46" fillId="37" borderId="0" applyNumberFormat="0" applyBorder="0" applyAlignment="0" applyProtection="0"/>
    <xf numFmtId="0" fontId="96" fillId="38" borderId="0" applyNumberFormat="0" applyBorder="0" applyAlignment="0" applyProtection="0"/>
    <xf numFmtId="0" fontId="96" fillId="39" borderId="0" applyNumberFormat="0" applyBorder="0" applyAlignment="0" applyProtection="0"/>
    <xf numFmtId="0" fontId="96" fillId="40" borderId="0" applyNumberFormat="0" applyBorder="0" applyAlignment="0" applyProtection="0"/>
    <xf numFmtId="0" fontId="96" fillId="41" borderId="0" applyNumberFormat="0" applyBorder="0" applyAlignment="0" applyProtection="0"/>
    <xf numFmtId="0" fontId="96" fillId="42" borderId="0" applyNumberFormat="0" applyBorder="0" applyAlignment="0" applyProtection="0"/>
    <xf numFmtId="0" fontId="96" fillId="43" borderId="0" applyNumberFormat="0" applyBorder="0" applyAlignment="0" applyProtection="0"/>
    <xf numFmtId="0" fontId="96" fillId="44" borderId="0" applyNumberFormat="0" applyBorder="0" applyAlignment="0" applyProtection="0"/>
    <xf numFmtId="0" fontId="96" fillId="45" borderId="0" applyNumberFormat="0" applyBorder="0" applyAlignment="0" applyProtection="0"/>
    <xf numFmtId="0" fontId="96" fillId="46" borderId="0" applyNumberFormat="0" applyBorder="0" applyAlignment="0" applyProtection="0"/>
    <xf numFmtId="0" fontId="96" fillId="47" borderId="0" applyNumberFormat="0" applyBorder="0" applyAlignment="0" applyProtection="0"/>
    <xf numFmtId="0" fontId="96" fillId="48" borderId="0" applyNumberFormat="0" applyBorder="0" applyAlignment="0" applyProtection="0"/>
    <xf numFmtId="0" fontId="96" fillId="49" borderId="0" applyNumberFormat="0" applyBorder="0" applyAlignment="0" applyProtection="0"/>
    <xf numFmtId="0" fontId="97" fillId="50" borderId="0" applyNumberFormat="0" applyBorder="0" applyAlignment="0" applyProtection="0"/>
    <xf numFmtId="0" fontId="98" fillId="51" borderId="19" applyNumberFormat="0" applyAlignment="0" applyProtection="0"/>
    <xf numFmtId="0" fontId="99" fillId="52" borderId="20" applyNumberFormat="0" applyAlignment="0" applyProtection="0"/>
    <xf numFmtId="164" fontId="66" fillId="0" borderId="0" applyFont="0" applyFill="0" applyBorder="0" applyAlignment="0" applyProtection="0"/>
    <xf numFmtId="0" fontId="100" fillId="0" borderId="0" applyNumberFormat="0" applyFill="0" applyBorder="0" applyAlignment="0" applyProtection="0"/>
    <xf numFmtId="0" fontId="101" fillId="53" borderId="0" applyNumberFormat="0" applyBorder="0" applyAlignment="0" applyProtection="0"/>
    <xf numFmtId="0" fontId="102" fillId="0" borderId="21" applyNumberFormat="0" applyFill="0" applyAlignment="0" applyProtection="0"/>
    <xf numFmtId="0" fontId="103" fillId="0" borderId="22" applyNumberFormat="0" applyFill="0" applyAlignment="0" applyProtection="0"/>
    <xf numFmtId="0" fontId="104" fillId="0" borderId="23" applyNumberFormat="0" applyFill="0" applyAlignment="0" applyProtection="0"/>
    <xf numFmtId="0" fontId="104" fillId="0" borderId="0" applyNumberFormat="0" applyFill="0" applyBorder="0" applyAlignment="0" applyProtection="0"/>
    <xf numFmtId="0" fontId="105" fillId="54" borderId="19" applyNumberFormat="0" applyAlignment="0" applyProtection="0"/>
    <xf numFmtId="0" fontId="106" fillId="0" borderId="24" applyNumberFormat="0" applyFill="0" applyAlignment="0" applyProtection="0"/>
    <xf numFmtId="0" fontId="107" fillId="55" borderId="0" applyNumberFormat="0" applyBorder="0" applyAlignment="0" applyProtection="0"/>
    <xf numFmtId="0" fontId="46" fillId="0" borderId="0"/>
    <xf numFmtId="0" fontId="46" fillId="0" borderId="0"/>
    <xf numFmtId="0" fontId="46" fillId="56" borderId="25" applyNumberFormat="0" applyFont="0" applyAlignment="0" applyProtection="0"/>
    <xf numFmtId="0" fontId="108" fillId="51" borderId="26" applyNumberFormat="0" applyAlignment="0" applyProtection="0"/>
    <xf numFmtId="0" fontId="109" fillId="0" borderId="0" applyNumberFormat="0" applyFill="0" applyBorder="0" applyAlignment="0" applyProtection="0"/>
    <xf numFmtId="0" fontId="94" fillId="0" borderId="27" applyNumberFormat="0" applyFill="0" applyAlignment="0" applyProtection="0"/>
    <xf numFmtId="0" fontId="110" fillId="0" borderId="0" applyNumberFormat="0" applyFill="0" applyBorder="0" applyAlignment="0" applyProtection="0"/>
    <xf numFmtId="0" fontId="45" fillId="0" borderId="0"/>
    <xf numFmtId="0" fontId="44" fillId="0" borderId="0"/>
    <xf numFmtId="0" fontId="43" fillId="0" borderId="0"/>
    <xf numFmtId="164" fontId="111" fillId="0" borderId="0" applyFont="0" applyFill="0" applyBorder="0" applyAlignment="0" applyProtection="0"/>
    <xf numFmtId="0" fontId="42" fillId="0" borderId="0"/>
    <xf numFmtId="0" fontId="41" fillId="0" borderId="0"/>
    <xf numFmtId="0" fontId="40" fillId="0" borderId="0"/>
    <xf numFmtId="0" fontId="39" fillId="0" borderId="0"/>
    <xf numFmtId="0" fontId="38" fillId="0" borderId="0"/>
    <xf numFmtId="0" fontId="37" fillId="0" borderId="0"/>
    <xf numFmtId="164" fontId="37" fillId="0" borderId="0" applyFont="0" applyFill="0" applyBorder="0" applyAlignment="0" applyProtection="0"/>
    <xf numFmtId="0" fontId="112" fillId="0" borderId="0"/>
    <xf numFmtId="0" fontId="36" fillId="0" borderId="0"/>
    <xf numFmtId="0" fontId="66" fillId="0" borderId="0"/>
    <xf numFmtId="164" fontId="36" fillId="0" borderId="0" applyFont="0" applyFill="0" applyBorder="0" applyAlignment="0" applyProtection="0"/>
    <xf numFmtId="0" fontId="35" fillId="0" borderId="0"/>
    <xf numFmtId="0" fontId="34" fillId="0" borderId="0"/>
    <xf numFmtId="0" fontId="34" fillId="26" borderId="0" applyNumberFormat="0" applyBorder="0" applyAlignment="0" applyProtection="0"/>
    <xf numFmtId="0" fontId="76" fillId="2" borderId="0" applyNumberFormat="0" applyBorder="0" applyAlignment="0" applyProtection="0"/>
    <xf numFmtId="0" fontId="34" fillId="27" borderId="0" applyNumberFormat="0" applyBorder="0" applyAlignment="0" applyProtection="0"/>
    <xf numFmtId="0" fontId="76" fillId="3" borderId="0" applyNumberFormat="0" applyBorder="0" applyAlignment="0" applyProtection="0"/>
    <xf numFmtId="0" fontId="34" fillId="28" borderId="0" applyNumberFormat="0" applyBorder="0" applyAlignment="0" applyProtection="0"/>
    <xf numFmtId="0" fontId="76" fillId="4" borderId="0" applyNumberFormat="0" applyBorder="0" applyAlignment="0" applyProtection="0"/>
    <xf numFmtId="0" fontId="34" fillId="29" borderId="0" applyNumberFormat="0" applyBorder="0" applyAlignment="0" applyProtection="0"/>
    <xf numFmtId="0" fontId="76" fillId="5" borderId="0" applyNumberFormat="0" applyBorder="0" applyAlignment="0" applyProtection="0"/>
    <xf numFmtId="0" fontId="34" fillId="30" borderId="0" applyNumberFormat="0" applyBorder="0" applyAlignment="0" applyProtection="0"/>
    <xf numFmtId="0" fontId="76" fillId="6" borderId="0" applyNumberFormat="0" applyBorder="0" applyAlignment="0" applyProtection="0"/>
    <xf numFmtId="0" fontId="34" fillId="31" borderId="0" applyNumberFormat="0" applyBorder="0" applyAlignment="0" applyProtection="0"/>
    <xf numFmtId="0" fontId="76" fillId="7" borderId="0" applyNumberFormat="0" applyBorder="0" applyAlignment="0" applyProtection="0"/>
    <xf numFmtId="0" fontId="34" fillId="32" borderId="0" applyNumberFormat="0" applyBorder="0" applyAlignment="0" applyProtection="0"/>
    <xf numFmtId="0" fontId="76" fillId="8" borderId="0" applyNumberFormat="0" applyBorder="0" applyAlignment="0" applyProtection="0"/>
    <xf numFmtId="0" fontId="34" fillId="33" borderId="0" applyNumberFormat="0" applyBorder="0" applyAlignment="0" applyProtection="0"/>
    <xf numFmtId="0" fontId="76" fillId="9" borderId="0" applyNumberFormat="0" applyBorder="0" applyAlignment="0" applyProtection="0"/>
    <xf numFmtId="0" fontId="34" fillId="34" borderId="0" applyNumberFormat="0" applyBorder="0" applyAlignment="0" applyProtection="0"/>
    <xf numFmtId="0" fontId="76" fillId="10" borderId="0" applyNumberFormat="0" applyBorder="0" applyAlignment="0" applyProtection="0"/>
    <xf numFmtId="0" fontId="34" fillId="35" borderId="0" applyNumberFormat="0" applyBorder="0" applyAlignment="0" applyProtection="0"/>
    <xf numFmtId="0" fontId="76" fillId="5" borderId="0" applyNumberFormat="0" applyBorder="0" applyAlignment="0" applyProtection="0"/>
    <xf numFmtId="0" fontId="34" fillId="36" borderId="0" applyNumberFormat="0" applyBorder="0" applyAlignment="0" applyProtection="0"/>
    <xf numFmtId="0" fontId="76" fillId="8" borderId="0" applyNumberFormat="0" applyBorder="0" applyAlignment="0" applyProtection="0"/>
    <xf numFmtId="0" fontId="34" fillId="37" borderId="0" applyNumberFormat="0" applyBorder="0" applyAlignment="0" applyProtection="0"/>
    <xf numFmtId="0" fontId="76" fillId="11" borderId="0" applyNumberFormat="0" applyBorder="0" applyAlignment="0" applyProtection="0"/>
    <xf numFmtId="0" fontId="77" fillId="12" borderId="0" applyNumberFormat="0" applyBorder="0" applyAlignment="0" applyProtection="0"/>
    <xf numFmtId="0" fontId="77" fillId="9" borderId="0" applyNumberFormat="0" applyBorder="0" applyAlignment="0" applyProtection="0"/>
    <xf numFmtId="0" fontId="77" fillId="10" borderId="0" applyNumberFormat="0" applyBorder="0" applyAlignment="0" applyProtection="0"/>
    <xf numFmtId="0" fontId="77" fillId="13" borderId="0" applyNumberFormat="0" applyBorder="0" applyAlignment="0" applyProtection="0"/>
    <xf numFmtId="0" fontId="77" fillId="14" borderId="0" applyNumberFormat="0" applyBorder="0" applyAlignment="0" applyProtection="0"/>
    <xf numFmtId="0" fontId="77" fillId="15" borderId="0" applyNumberFormat="0" applyBorder="0" applyAlignment="0" applyProtection="0"/>
    <xf numFmtId="0" fontId="77" fillId="16" borderId="0" applyNumberFormat="0" applyBorder="0" applyAlignment="0" applyProtection="0"/>
    <xf numFmtId="0" fontId="77" fillId="17" borderId="0" applyNumberFormat="0" applyBorder="0" applyAlignment="0" applyProtection="0"/>
    <xf numFmtId="0" fontId="77" fillId="18" borderId="0" applyNumberFormat="0" applyBorder="0" applyAlignment="0" applyProtection="0"/>
    <xf numFmtId="0" fontId="77" fillId="13" borderId="0" applyNumberFormat="0" applyBorder="0" applyAlignment="0" applyProtection="0"/>
    <xf numFmtId="0" fontId="77" fillId="14" borderId="0" applyNumberFormat="0" applyBorder="0" applyAlignment="0" applyProtection="0"/>
    <xf numFmtId="0" fontId="77" fillId="19" borderId="0" applyNumberFormat="0" applyBorder="0" applyAlignment="0" applyProtection="0"/>
    <xf numFmtId="0" fontId="78" fillId="3" borderId="0" applyNumberFormat="0" applyBorder="0" applyAlignment="0" applyProtection="0"/>
    <xf numFmtId="0" fontId="79" fillId="20" borderId="1" applyNumberFormat="0" applyAlignment="0" applyProtection="0"/>
    <xf numFmtId="0" fontId="80" fillId="21" borderId="2" applyNumberFormat="0" applyAlignment="0" applyProtection="0"/>
    <xf numFmtId="164" fontId="34" fillId="0" borderId="0" applyFont="0" applyFill="0" applyBorder="0" applyAlignment="0" applyProtection="0"/>
    <xf numFmtId="164" fontId="66" fillId="0" borderId="0" applyFont="0" applyFill="0" applyBorder="0" applyAlignment="0" applyProtection="0"/>
    <xf numFmtId="44" fontId="34" fillId="0" borderId="0" applyFont="0" applyFill="0" applyBorder="0" applyAlignment="0" applyProtection="0"/>
    <xf numFmtId="0" fontId="81" fillId="0" borderId="0" applyNumberFormat="0" applyFill="0" applyBorder="0" applyAlignment="0" applyProtection="0"/>
    <xf numFmtId="0" fontId="82" fillId="4" borderId="0" applyNumberFormat="0" applyBorder="0" applyAlignment="0" applyProtection="0"/>
    <xf numFmtId="0" fontId="83" fillId="0" borderId="3" applyNumberFormat="0" applyFill="0" applyAlignment="0" applyProtection="0"/>
    <xf numFmtId="0" fontId="84" fillId="0" borderId="4" applyNumberFormat="0" applyFill="0" applyAlignment="0" applyProtection="0"/>
    <xf numFmtId="0" fontId="85" fillId="0" borderId="5" applyNumberFormat="0" applyFill="0" applyAlignment="0" applyProtection="0"/>
    <xf numFmtId="0" fontId="85" fillId="0" borderId="0" applyNumberFormat="0" applyFill="0" applyBorder="0" applyAlignment="0" applyProtection="0"/>
    <xf numFmtId="0" fontId="86" fillId="7" borderId="1" applyNumberFormat="0" applyAlignment="0" applyProtection="0"/>
    <xf numFmtId="0" fontId="87" fillId="0" borderId="6" applyNumberFormat="0" applyFill="0" applyAlignment="0" applyProtection="0"/>
    <xf numFmtId="0" fontId="88" fillId="22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66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112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56" borderId="25" applyNumberFormat="0" applyFont="0" applyAlignment="0" applyProtection="0"/>
    <xf numFmtId="0" fontId="76" fillId="23" borderId="7" applyNumberFormat="0" applyFont="0" applyAlignment="0" applyProtection="0"/>
    <xf numFmtId="0" fontId="89" fillId="20" borderId="8" applyNumberFormat="0" applyAlignment="0" applyProtection="0"/>
    <xf numFmtId="9" fontId="66" fillId="0" borderId="0" applyFont="0" applyFill="0" applyBorder="0" applyAlignment="0" applyProtection="0"/>
    <xf numFmtId="0" fontId="90" fillId="0" borderId="0" applyNumberFormat="0" applyFill="0" applyBorder="0" applyAlignment="0" applyProtection="0"/>
    <xf numFmtId="0" fontId="91" fillId="0" borderId="9" applyNumberFormat="0" applyFill="0" applyAlignment="0" applyProtection="0"/>
    <xf numFmtId="0" fontId="92" fillId="0" borderId="0" applyNumberFormat="0" applyFill="0" applyBorder="0" applyAlignment="0" applyProtection="0"/>
    <xf numFmtId="0" fontId="34" fillId="0" borderId="0"/>
    <xf numFmtId="0" fontId="34" fillId="0" borderId="0"/>
    <xf numFmtId="0" fontId="33" fillId="0" borderId="0"/>
    <xf numFmtId="0" fontId="32" fillId="0" borderId="0"/>
    <xf numFmtId="0" fontId="31" fillId="0" borderId="0"/>
    <xf numFmtId="0" fontId="30" fillId="0" borderId="0"/>
    <xf numFmtId="0" fontId="116" fillId="0" borderId="0" applyNumberFormat="0" applyFill="0" applyBorder="0" applyAlignment="0" applyProtection="0"/>
    <xf numFmtId="0" fontId="29" fillId="0" borderId="0"/>
    <xf numFmtId="0" fontId="28" fillId="0" borderId="0"/>
    <xf numFmtId="0" fontId="27" fillId="0" borderId="0"/>
    <xf numFmtId="0" fontId="26" fillId="0" borderId="0"/>
    <xf numFmtId="0" fontId="25" fillId="0" borderId="0"/>
    <xf numFmtId="0" fontId="24" fillId="0" borderId="0"/>
    <xf numFmtId="0" fontId="23" fillId="0" borderId="0"/>
    <xf numFmtId="0" fontId="22" fillId="0" borderId="0"/>
    <xf numFmtId="0" fontId="21" fillId="0" borderId="0"/>
    <xf numFmtId="0" fontId="20" fillId="0" borderId="0"/>
    <xf numFmtId="0" fontId="19" fillId="0" borderId="0"/>
    <xf numFmtId="0" fontId="18" fillId="0" borderId="0"/>
    <xf numFmtId="0" fontId="17" fillId="0" borderId="0"/>
    <xf numFmtId="0" fontId="16" fillId="0" borderId="0"/>
    <xf numFmtId="0" fontId="15" fillId="0" borderId="0"/>
    <xf numFmtId="0" fontId="14" fillId="0" borderId="0"/>
    <xf numFmtId="0" fontId="13" fillId="0" borderId="0"/>
    <xf numFmtId="0" fontId="12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0" fontId="7" fillId="0" borderId="0"/>
    <xf numFmtId="0" fontId="6" fillId="0" borderId="0"/>
    <xf numFmtId="0" fontId="5" fillId="0" borderId="0"/>
    <xf numFmtId="0" fontId="4" fillId="0" borderId="0"/>
    <xf numFmtId="0" fontId="3" fillId="0" borderId="0"/>
    <xf numFmtId="0" fontId="2" fillId="0" borderId="0"/>
    <xf numFmtId="0" fontId="1" fillId="0" borderId="0"/>
  </cellStyleXfs>
  <cellXfs count="127">
    <xf numFmtId="0" fontId="0" fillId="0" borderId="0" xfId="0"/>
    <xf numFmtId="165" fontId="0" fillId="0" borderId="0" xfId="0" applyNumberFormat="1"/>
    <xf numFmtId="0" fontId="66" fillId="24" borderId="10" xfId="0" applyFont="1" applyFill="1" applyBorder="1"/>
    <xf numFmtId="0" fontId="66" fillId="24" borderId="11" xfId="0" applyFont="1" applyFill="1" applyBorder="1"/>
    <xf numFmtId="0" fontId="0" fillId="24" borderId="12" xfId="0" applyFill="1" applyBorder="1"/>
    <xf numFmtId="0" fontId="66" fillId="24" borderId="13" xfId="0" applyFont="1" applyFill="1" applyBorder="1"/>
    <xf numFmtId="0" fontId="66" fillId="24" borderId="0" xfId="0" applyFont="1" applyFill="1"/>
    <xf numFmtId="0" fontId="0" fillId="24" borderId="14" xfId="0" applyFill="1" applyBorder="1"/>
    <xf numFmtId="0" fontId="67" fillId="24" borderId="10" xfId="0" applyFont="1" applyFill="1" applyBorder="1"/>
    <xf numFmtId="0" fontId="66" fillId="24" borderId="11" xfId="0" applyFont="1" applyFill="1" applyBorder="1" applyAlignment="1">
      <alignment horizontal="left"/>
    </xf>
    <xf numFmtId="0" fontId="66" fillId="24" borderId="12" xfId="0" applyFont="1" applyFill="1" applyBorder="1"/>
    <xf numFmtId="0" fontId="0" fillId="24" borderId="11" xfId="0" applyFill="1" applyBorder="1"/>
    <xf numFmtId="15" fontId="66" fillId="24" borderId="11" xfId="0" applyNumberFormat="1" applyFont="1" applyFill="1" applyBorder="1"/>
    <xf numFmtId="0" fontId="67" fillId="24" borderId="11" xfId="0" applyFont="1" applyFill="1" applyBorder="1"/>
    <xf numFmtId="0" fontId="67" fillId="24" borderId="15" xfId="0" applyFont="1" applyFill="1" applyBorder="1"/>
    <xf numFmtId="0" fontId="66" fillId="24" borderId="16" xfId="0" applyFont="1" applyFill="1" applyBorder="1"/>
    <xf numFmtId="0" fontId="66" fillId="24" borderId="16" xfId="0" applyFont="1" applyFill="1" applyBorder="1" applyAlignment="1">
      <alignment horizontal="left"/>
    </xf>
    <xf numFmtId="0" fontId="66" fillId="24" borderId="17" xfId="0" applyFont="1" applyFill="1" applyBorder="1"/>
    <xf numFmtId="0" fontId="0" fillId="24" borderId="15" xfId="0" applyFill="1" applyBorder="1"/>
    <xf numFmtId="0" fontId="0" fillId="24" borderId="16" xfId="0" applyFill="1" applyBorder="1"/>
    <xf numFmtId="0" fontId="66" fillId="24" borderId="0" xfId="0" applyFont="1" applyFill="1" applyAlignment="1">
      <alignment horizontal="center"/>
    </xf>
    <xf numFmtId="166" fontId="66" fillId="24" borderId="0" xfId="0" applyNumberFormat="1" applyFont="1" applyFill="1"/>
    <xf numFmtId="0" fontId="70" fillId="24" borderId="10" xfId="0" applyFont="1" applyFill="1" applyBorder="1"/>
    <xf numFmtId="166" fontId="66" fillId="24" borderId="18" xfId="0" applyNumberFormat="1" applyFont="1" applyFill="1" applyBorder="1"/>
    <xf numFmtId="0" fontId="66" fillId="24" borderId="14" xfId="0" applyFont="1" applyFill="1" applyBorder="1"/>
    <xf numFmtId="0" fontId="66" fillId="24" borderId="15" xfId="0" applyFont="1" applyFill="1" applyBorder="1"/>
    <xf numFmtId="0" fontId="0" fillId="24" borderId="0" xfId="0" applyFill="1"/>
    <xf numFmtId="0" fontId="71" fillId="0" borderId="0" xfId="0" applyFont="1"/>
    <xf numFmtId="0" fontId="71" fillId="24" borderId="13" xfId="0" applyFont="1" applyFill="1" applyBorder="1"/>
    <xf numFmtId="0" fontId="71" fillId="24" borderId="0" xfId="0" applyFont="1" applyFill="1"/>
    <xf numFmtId="166" fontId="71" fillId="24" borderId="0" xfId="0" applyNumberFormat="1" applyFont="1" applyFill="1"/>
    <xf numFmtId="0" fontId="71" fillId="24" borderId="14" xfId="0" applyFont="1" applyFill="1" applyBorder="1"/>
    <xf numFmtId="0" fontId="0" fillId="24" borderId="13" xfId="0" applyFill="1" applyBorder="1"/>
    <xf numFmtId="0" fontId="72" fillId="24" borderId="10" xfId="0" applyFont="1" applyFill="1" applyBorder="1"/>
    <xf numFmtId="0" fontId="73" fillId="24" borderId="13" xfId="0" applyFont="1" applyFill="1" applyBorder="1"/>
    <xf numFmtId="0" fontId="74" fillId="24" borderId="13" xfId="0" applyFont="1" applyFill="1" applyBorder="1"/>
    <xf numFmtId="0" fontId="74" fillId="24" borderId="0" xfId="0" applyFont="1" applyFill="1"/>
    <xf numFmtId="0" fontId="67" fillId="24" borderId="0" xfId="0" applyFont="1" applyFill="1"/>
    <xf numFmtId="167" fontId="66" fillId="24" borderId="16" xfId="0" applyNumberFormat="1" applyFont="1" applyFill="1" applyBorder="1"/>
    <xf numFmtId="0" fontId="0" fillId="24" borderId="17" xfId="0" applyFill="1" applyBorder="1"/>
    <xf numFmtId="4" fontId="0" fillId="0" borderId="0" xfId="0" applyNumberFormat="1"/>
    <xf numFmtId="0" fontId="66" fillId="0" borderId="0" xfId="0" applyFont="1"/>
    <xf numFmtId="166" fontId="66" fillId="0" borderId="0" xfId="0" applyNumberFormat="1" applyFont="1"/>
    <xf numFmtId="166" fontId="66" fillId="0" borderId="18" xfId="0" applyNumberFormat="1" applyFont="1" applyBorder="1"/>
    <xf numFmtId="0" fontId="0" fillId="0" borderId="0" xfId="0" applyAlignment="1">
      <alignment horizontal="center"/>
    </xf>
    <xf numFmtId="0" fontId="66" fillId="0" borderId="0" xfId="58"/>
    <xf numFmtId="22" fontId="0" fillId="0" borderId="0" xfId="0" applyNumberFormat="1"/>
    <xf numFmtId="164" fontId="66" fillId="24" borderId="0" xfId="0" applyNumberFormat="1" applyFont="1" applyFill="1"/>
    <xf numFmtId="14" fontId="68" fillId="0" borderId="0" xfId="58" applyNumberFormat="1" applyFont="1"/>
    <xf numFmtId="0" fontId="68" fillId="0" borderId="0" xfId="58" applyFont="1"/>
    <xf numFmtId="0" fontId="66" fillId="0" borderId="0" xfId="58" applyAlignment="1">
      <alignment wrapText="1"/>
    </xf>
    <xf numFmtId="2" fontId="66" fillId="0" borderId="0" xfId="58" applyNumberFormat="1"/>
    <xf numFmtId="165" fontId="66" fillId="0" borderId="0" xfId="58" applyNumberFormat="1"/>
    <xf numFmtId="1" fontId="66" fillId="0" borderId="0" xfId="58" applyNumberFormat="1"/>
    <xf numFmtId="165" fontId="94" fillId="0" borderId="0" xfId="266" applyNumberFormat="1" applyFont="1"/>
    <xf numFmtId="165" fontId="94" fillId="0" borderId="0" xfId="265" applyNumberFormat="1" applyFont="1"/>
    <xf numFmtId="1" fontId="67" fillId="0" borderId="0" xfId="58" applyNumberFormat="1" applyFont="1"/>
    <xf numFmtId="49" fontId="34" fillId="0" borderId="0" xfId="260" applyNumberFormat="1"/>
    <xf numFmtId="49" fontId="33" fillId="0" borderId="0" xfId="334" applyNumberFormat="1"/>
    <xf numFmtId="49" fontId="75" fillId="0" borderId="0" xfId="58" applyNumberFormat="1" applyFont="1" applyAlignment="1">
      <alignment horizontal="center" vertical="center" wrapText="1"/>
    </xf>
    <xf numFmtId="49" fontId="95" fillId="0" borderId="0" xfId="58" applyNumberFormat="1" applyFont="1" applyAlignment="1">
      <alignment horizontal="center" vertical="center"/>
    </xf>
    <xf numFmtId="49" fontId="75" fillId="59" borderId="0" xfId="58" applyNumberFormat="1" applyFont="1" applyFill="1" applyAlignment="1">
      <alignment horizontal="center" vertical="center" wrapText="1"/>
    </xf>
    <xf numFmtId="49" fontId="95" fillId="57" borderId="0" xfId="58" applyNumberFormat="1" applyFont="1" applyFill="1" applyAlignment="1">
      <alignment horizontal="center" vertical="center" wrapText="1"/>
    </xf>
    <xf numFmtId="49" fontId="75" fillId="58" borderId="0" xfId="58" applyNumberFormat="1" applyFont="1" applyFill="1" applyAlignment="1">
      <alignment horizontal="center" vertical="center" wrapText="1"/>
    </xf>
    <xf numFmtId="0" fontId="66" fillId="0" borderId="0" xfId="58" applyAlignment="1">
      <alignment horizontal="center"/>
    </xf>
    <xf numFmtId="0" fontId="34" fillId="0" borderId="0" xfId="324" applyAlignment="1">
      <alignment horizontal="center"/>
    </xf>
    <xf numFmtId="49" fontId="75" fillId="60" borderId="0" xfId="58" applyNumberFormat="1" applyFont="1" applyFill="1" applyAlignment="1">
      <alignment horizontal="left" vertical="center" wrapText="1"/>
    </xf>
    <xf numFmtId="49" fontId="95" fillId="60" borderId="0" xfId="260" applyNumberFormat="1" applyFont="1" applyFill="1" applyAlignment="1">
      <alignment horizontal="left" vertical="center" wrapText="1"/>
    </xf>
    <xf numFmtId="49" fontId="95" fillId="25" borderId="0" xfId="58" applyNumberFormat="1" applyFont="1" applyFill="1" applyAlignment="1">
      <alignment horizontal="center" vertical="center" wrapText="1"/>
    </xf>
    <xf numFmtId="49" fontId="30" fillId="0" borderId="0" xfId="337" applyNumberFormat="1"/>
    <xf numFmtId="0" fontId="116" fillId="0" borderId="0" xfId="338"/>
    <xf numFmtId="0" fontId="67" fillId="0" borderId="0" xfId="0" applyFont="1"/>
    <xf numFmtId="49" fontId="26" fillId="0" borderId="0" xfId="342" applyNumberFormat="1"/>
    <xf numFmtId="165" fontId="26" fillId="0" borderId="0" xfId="342" applyNumberFormat="1"/>
    <xf numFmtId="49" fontId="25" fillId="0" borderId="0" xfId="343" applyNumberFormat="1"/>
    <xf numFmtId="49" fontId="23" fillId="0" borderId="0" xfId="345" applyNumberFormat="1"/>
    <xf numFmtId="0" fontId="0" fillId="0" borderId="0" xfId="0" applyFill="1"/>
    <xf numFmtId="0" fontId="21" fillId="0" borderId="0" xfId="347"/>
    <xf numFmtId="49" fontId="21" fillId="0" borderId="0" xfId="347" applyNumberFormat="1"/>
    <xf numFmtId="165" fontId="21" fillId="0" borderId="0" xfId="347" applyNumberFormat="1"/>
    <xf numFmtId="165" fontId="94" fillId="0" borderId="0" xfId="347" applyNumberFormat="1" applyFont="1"/>
    <xf numFmtId="49" fontId="95" fillId="0" borderId="0" xfId="347" applyNumberFormat="1" applyFont="1"/>
    <xf numFmtId="49" fontId="20" fillId="0" borderId="0" xfId="348" applyNumberFormat="1"/>
    <xf numFmtId="49" fontId="95" fillId="0" borderId="0" xfId="348" applyNumberFormat="1" applyFont="1"/>
    <xf numFmtId="49" fontId="20" fillId="0" borderId="0" xfId="260" applyNumberFormat="1" applyFont="1"/>
    <xf numFmtId="2" fontId="66" fillId="0" borderId="0" xfId="58" applyNumberFormat="1" applyFill="1"/>
    <xf numFmtId="49" fontId="17" fillId="0" borderId="0" xfId="351" applyNumberFormat="1"/>
    <xf numFmtId="0" fontId="66" fillId="0" borderId="0" xfId="58" applyAlignment="1">
      <alignment horizontal="left" vertical="center"/>
    </xf>
    <xf numFmtId="0" fontId="66" fillId="0" borderId="0" xfId="58" applyAlignment="1">
      <alignment horizontal="left" vertical="center" wrapText="1"/>
    </xf>
    <xf numFmtId="49" fontId="4" fillId="0" borderId="0" xfId="350" applyNumberFormat="1" applyFont="1"/>
    <xf numFmtId="0" fontId="3" fillId="0" borderId="0" xfId="365"/>
    <xf numFmtId="49" fontId="3" fillId="0" borderId="0" xfId="365" applyNumberFormat="1"/>
    <xf numFmtId="165" fontId="3" fillId="0" borderId="0" xfId="365" applyNumberFormat="1"/>
    <xf numFmtId="165" fontId="94" fillId="0" borderId="0" xfId="365" applyNumberFormat="1" applyFont="1"/>
    <xf numFmtId="49" fontId="95" fillId="0" borderId="0" xfId="365" applyNumberFormat="1" applyFont="1"/>
    <xf numFmtId="0" fontId="2" fillId="0" borderId="0" xfId="366"/>
    <xf numFmtId="49" fontId="2" fillId="0" borderId="0" xfId="366" applyNumberFormat="1"/>
    <xf numFmtId="165" fontId="2" fillId="0" borderId="0" xfId="366" applyNumberFormat="1"/>
    <xf numFmtId="165" fontId="94" fillId="0" borderId="0" xfId="366" applyNumberFormat="1" applyFont="1"/>
    <xf numFmtId="49" fontId="95" fillId="0" borderId="0" xfId="366" applyNumberFormat="1" applyFont="1"/>
    <xf numFmtId="49" fontId="95" fillId="0" borderId="0" xfId="367" applyNumberFormat="1" applyFont="1"/>
    <xf numFmtId="12" fontId="0" fillId="0" borderId="0" xfId="0" applyNumberFormat="1"/>
    <xf numFmtId="12" fontId="67" fillId="0" borderId="0" xfId="0" applyNumberFormat="1" applyFont="1"/>
    <xf numFmtId="22" fontId="67" fillId="0" borderId="0" xfId="0" applyNumberFormat="1" applyFont="1"/>
    <xf numFmtId="0" fontId="66" fillId="61" borderId="0" xfId="0" quotePrefix="1" applyFont="1" applyFill="1"/>
    <xf numFmtId="0" fontId="0" fillId="0" borderId="0" xfId="0" applyFont="1" applyFill="1"/>
    <xf numFmtId="0" fontId="0" fillId="0" borderId="0" xfId="0" applyFill="1" applyAlignment="1">
      <alignment horizontal="center"/>
    </xf>
    <xf numFmtId="0" fontId="66" fillId="0" borderId="0" xfId="0" quotePrefix="1" applyFont="1" applyFill="1" applyAlignment="1">
      <alignment horizontal="center"/>
    </xf>
    <xf numFmtId="0" fontId="0" fillId="61" borderId="0" xfId="0" applyFill="1" applyAlignment="1">
      <alignment horizontal="center"/>
    </xf>
    <xf numFmtId="21" fontId="66" fillId="0" borderId="0" xfId="0" quotePrefix="1" applyNumberFormat="1" applyFont="1" applyFill="1" applyAlignment="1">
      <alignment horizontal="center"/>
    </xf>
    <xf numFmtId="2" fontId="68" fillId="0" borderId="0" xfId="58" applyNumberFormat="1" applyFont="1"/>
    <xf numFmtId="2" fontId="95" fillId="0" borderId="0" xfId="58" applyNumberFormat="1" applyFont="1" applyAlignment="1">
      <alignment horizontal="center" vertical="center" wrapText="1"/>
    </xf>
    <xf numFmtId="2" fontId="34" fillId="0" borderId="0" xfId="260" applyNumberFormat="1"/>
    <xf numFmtId="2" fontId="34" fillId="0" borderId="0" xfId="260" applyNumberFormat="1" applyFill="1"/>
    <xf numFmtId="2" fontId="94" fillId="0" borderId="0" xfId="266" applyNumberFormat="1" applyFont="1"/>
    <xf numFmtId="14" fontId="66" fillId="61" borderId="0" xfId="0" quotePrefix="1" applyNumberFormat="1" applyFont="1" applyFill="1"/>
    <xf numFmtId="0" fontId="66" fillId="0" borderId="0" xfId="0" applyFont="1" applyFill="1" applyAlignment="1">
      <alignment wrapText="1"/>
    </xf>
    <xf numFmtId="0" fontId="95" fillId="0" borderId="0" xfId="0" applyFont="1"/>
    <xf numFmtId="165" fontId="120" fillId="0" borderId="0" xfId="0" applyNumberFormat="1" applyFont="1"/>
    <xf numFmtId="2" fontId="66" fillId="0" borderId="0" xfId="195" applyNumberFormat="1" applyFont="1"/>
    <xf numFmtId="2" fontId="94" fillId="0" borderId="0" xfId="265" applyNumberFormat="1" applyFont="1"/>
    <xf numFmtId="2" fontId="95" fillId="57" borderId="0" xfId="58" applyNumberFormat="1" applyFont="1" applyFill="1" applyAlignment="1">
      <alignment horizontal="center" vertical="center" wrapText="1"/>
    </xf>
    <xf numFmtId="164" fontId="0" fillId="0" borderId="0" xfId="195" applyNumberFormat="1" applyFont="1"/>
    <xf numFmtId="165" fontId="67" fillId="0" borderId="0" xfId="0" applyNumberFormat="1" applyFont="1"/>
    <xf numFmtId="0" fontId="66" fillId="0" borderId="0" xfId="58" applyAlignment="1">
      <alignment horizontal="center" wrapText="1"/>
    </xf>
    <xf numFmtId="0" fontId="66" fillId="0" borderId="0" xfId="58" applyAlignment="1">
      <alignment horizontal="center" vertical="top" wrapText="1"/>
    </xf>
    <xf numFmtId="0" fontId="66" fillId="0" borderId="0" xfId="0" applyFont="1" applyAlignment="1">
      <alignment horizontal="left" vertical="top" wrapText="1"/>
    </xf>
  </cellXfs>
  <cellStyles count="368">
    <cellStyle name="20% - Accent1" xfId="1" builtinId="30" customBuiltin="1"/>
    <cellStyle name="20% - Accent1 2" xfId="59" xr:uid="{00000000-0005-0000-0000-000001000000}"/>
    <cellStyle name="20% - Accent1 3" xfId="60" xr:uid="{00000000-0005-0000-0000-000002000000}"/>
    <cellStyle name="20% - Accent1 4" xfId="148" xr:uid="{00000000-0005-0000-0000-000003000000}"/>
    <cellStyle name="20% - Accent1 4 2" xfId="209" xr:uid="{00000000-0005-0000-0000-000004000000}"/>
    <cellStyle name="20% - Accent1 5" xfId="210" xr:uid="{00000000-0005-0000-0000-000005000000}"/>
    <cellStyle name="20% - Accent2" xfId="2" builtinId="34" customBuiltin="1"/>
    <cellStyle name="20% - Accent2 2" xfId="61" xr:uid="{00000000-0005-0000-0000-000007000000}"/>
    <cellStyle name="20% - Accent2 3" xfId="62" xr:uid="{00000000-0005-0000-0000-000008000000}"/>
    <cellStyle name="20% - Accent2 4" xfId="149" xr:uid="{00000000-0005-0000-0000-000009000000}"/>
    <cellStyle name="20% - Accent2 4 2" xfId="211" xr:uid="{00000000-0005-0000-0000-00000A000000}"/>
    <cellStyle name="20% - Accent2 5" xfId="212" xr:uid="{00000000-0005-0000-0000-00000B000000}"/>
    <cellStyle name="20% - Accent3" xfId="3" builtinId="38" customBuiltin="1"/>
    <cellStyle name="20% - Accent3 2" xfId="63" xr:uid="{00000000-0005-0000-0000-00000D000000}"/>
    <cellStyle name="20% - Accent3 3" xfId="64" xr:uid="{00000000-0005-0000-0000-00000E000000}"/>
    <cellStyle name="20% - Accent3 4" xfId="150" xr:uid="{00000000-0005-0000-0000-00000F000000}"/>
    <cellStyle name="20% - Accent3 4 2" xfId="213" xr:uid="{00000000-0005-0000-0000-000010000000}"/>
    <cellStyle name="20% - Accent3 5" xfId="214" xr:uid="{00000000-0005-0000-0000-000011000000}"/>
    <cellStyle name="20% - Accent4" xfId="4" builtinId="42" customBuiltin="1"/>
    <cellStyle name="20% - Accent4 2" xfId="65" xr:uid="{00000000-0005-0000-0000-000013000000}"/>
    <cellStyle name="20% - Accent4 3" xfId="66" xr:uid="{00000000-0005-0000-0000-000014000000}"/>
    <cellStyle name="20% - Accent4 4" xfId="151" xr:uid="{00000000-0005-0000-0000-000015000000}"/>
    <cellStyle name="20% - Accent4 4 2" xfId="215" xr:uid="{00000000-0005-0000-0000-000016000000}"/>
    <cellStyle name="20% - Accent4 5" xfId="216" xr:uid="{00000000-0005-0000-0000-000017000000}"/>
    <cellStyle name="20% - Accent5" xfId="5" builtinId="46" customBuiltin="1"/>
    <cellStyle name="20% - Accent5 2" xfId="67" xr:uid="{00000000-0005-0000-0000-000019000000}"/>
    <cellStyle name="20% - Accent5 3" xfId="68" xr:uid="{00000000-0005-0000-0000-00001A000000}"/>
    <cellStyle name="20% - Accent5 4" xfId="152" xr:uid="{00000000-0005-0000-0000-00001B000000}"/>
    <cellStyle name="20% - Accent5 4 2" xfId="217" xr:uid="{00000000-0005-0000-0000-00001C000000}"/>
    <cellStyle name="20% - Accent5 5" xfId="218" xr:uid="{00000000-0005-0000-0000-00001D000000}"/>
    <cellStyle name="20% - Accent6" xfId="6" builtinId="50" customBuiltin="1"/>
    <cellStyle name="20% - Accent6 2" xfId="69" xr:uid="{00000000-0005-0000-0000-00001F000000}"/>
    <cellStyle name="20% - Accent6 3" xfId="70" xr:uid="{00000000-0005-0000-0000-000020000000}"/>
    <cellStyle name="20% - Accent6 4" xfId="153" xr:uid="{00000000-0005-0000-0000-000021000000}"/>
    <cellStyle name="20% - Accent6 4 2" xfId="219" xr:uid="{00000000-0005-0000-0000-000022000000}"/>
    <cellStyle name="20% - Accent6 5" xfId="220" xr:uid="{00000000-0005-0000-0000-000023000000}"/>
    <cellStyle name="40% - Accent1" xfId="7" builtinId="31" customBuiltin="1"/>
    <cellStyle name="40% - Accent1 2" xfId="71" xr:uid="{00000000-0005-0000-0000-000025000000}"/>
    <cellStyle name="40% - Accent1 3" xfId="72" xr:uid="{00000000-0005-0000-0000-000026000000}"/>
    <cellStyle name="40% - Accent1 4" xfId="154" xr:uid="{00000000-0005-0000-0000-000027000000}"/>
    <cellStyle name="40% - Accent1 4 2" xfId="221" xr:uid="{00000000-0005-0000-0000-000028000000}"/>
    <cellStyle name="40% - Accent1 5" xfId="222" xr:uid="{00000000-0005-0000-0000-000029000000}"/>
    <cellStyle name="40% - Accent2" xfId="8" builtinId="35" customBuiltin="1"/>
    <cellStyle name="40% - Accent2 2" xfId="73" xr:uid="{00000000-0005-0000-0000-00002B000000}"/>
    <cellStyle name="40% - Accent2 3" xfId="74" xr:uid="{00000000-0005-0000-0000-00002C000000}"/>
    <cellStyle name="40% - Accent2 4" xfId="155" xr:uid="{00000000-0005-0000-0000-00002D000000}"/>
    <cellStyle name="40% - Accent2 4 2" xfId="223" xr:uid="{00000000-0005-0000-0000-00002E000000}"/>
    <cellStyle name="40% - Accent2 5" xfId="224" xr:uid="{00000000-0005-0000-0000-00002F000000}"/>
    <cellStyle name="40% - Accent3" xfId="9" builtinId="39" customBuiltin="1"/>
    <cellStyle name="40% - Accent3 2" xfId="75" xr:uid="{00000000-0005-0000-0000-000031000000}"/>
    <cellStyle name="40% - Accent3 3" xfId="76" xr:uid="{00000000-0005-0000-0000-000032000000}"/>
    <cellStyle name="40% - Accent3 4" xfId="156" xr:uid="{00000000-0005-0000-0000-000033000000}"/>
    <cellStyle name="40% - Accent3 4 2" xfId="225" xr:uid="{00000000-0005-0000-0000-000034000000}"/>
    <cellStyle name="40% - Accent3 5" xfId="226" xr:uid="{00000000-0005-0000-0000-000035000000}"/>
    <cellStyle name="40% - Accent4" xfId="10" builtinId="43" customBuiltin="1"/>
    <cellStyle name="40% - Accent4 2" xfId="77" xr:uid="{00000000-0005-0000-0000-000037000000}"/>
    <cellStyle name="40% - Accent4 3" xfId="78" xr:uid="{00000000-0005-0000-0000-000038000000}"/>
    <cellStyle name="40% - Accent4 4" xfId="157" xr:uid="{00000000-0005-0000-0000-000039000000}"/>
    <cellStyle name="40% - Accent4 4 2" xfId="227" xr:uid="{00000000-0005-0000-0000-00003A000000}"/>
    <cellStyle name="40% - Accent4 5" xfId="228" xr:uid="{00000000-0005-0000-0000-00003B000000}"/>
    <cellStyle name="40% - Accent5" xfId="11" builtinId="47" customBuiltin="1"/>
    <cellStyle name="40% - Accent5 2" xfId="79" xr:uid="{00000000-0005-0000-0000-00003D000000}"/>
    <cellStyle name="40% - Accent5 3" xfId="80" xr:uid="{00000000-0005-0000-0000-00003E000000}"/>
    <cellStyle name="40% - Accent5 4" xfId="158" xr:uid="{00000000-0005-0000-0000-00003F000000}"/>
    <cellStyle name="40% - Accent5 4 2" xfId="229" xr:uid="{00000000-0005-0000-0000-000040000000}"/>
    <cellStyle name="40% - Accent5 5" xfId="230" xr:uid="{00000000-0005-0000-0000-000041000000}"/>
    <cellStyle name="40% - Accent6" xfId="12" builtinId="51" customBuiltin="1"/>
    <cellStyle name="40% - Accent6 2" xfId="81" xr:uid="{00000000-0005-0000-0000-000043000000}"/>
    <cellStyle name="40% - Accent6 3" xfId="82" xr:uid="{00000000-0005-0000-0000-000044000000}"/>
    <cellStyle name="40% - Accent6 4" xfId="159" xr:uid="{00000000-0005-0000-0000-000045000000}"/>
    <cellStyle name="40% - Accent6 4 2" xfId="231" xr:uid="{00000000-0005-0000-0000-000046000000}"/>
    <cellStyle name="40% - Accent6 5" xfId="232" xr:uid="{00000000-0005-0000-0000-000047000000}"/>
    <cellStyle name="60% - Accent1" xfId="13" builtinId="32" customBuiltin="1"/>
    <cellStyle name="60% - Accent1 2" xfId="83" xr:uid="{00000000-0005-0000-0000-000049000000}"/>
    <cellStyle name="60% - Accent1 3" xfId="84" xr:uid="{00000000-0005-0000-0000-00004A000000}"/>
    <cellStyle name="60% - Accent1 4" xfId="160" xr:uid="{00000000-0005-0000-0000-00004B000000}"/>
    <cellStyle name="60% - Accent1 5" xfId="233" xr:uid="{00000000-0005-0000-0000-00004C000000}"/>
    <cellStyle name="60% - Accent2" xfId="14" builtinId="36" customBuiltin="1"/>
    <cellStyle name="60% - Accent2 2" xfId="85" xr:uid="{00000000-0005-0000-0000-00004E000000}"/>
    <cellStyle name="60% - Accent2 3" xfId="86" xr:uid="{00000000-0005-0000-0000-00004F000000}"/>
    <cellStyle name="60% - Accent2 4" xfId="161" xr:uid="{00000000-0005-0000-0000-000050000000}"/>
    <cellStyle name="60% - Accent2 5" xfId="234" xr:uid="{00000000-0005-0000-0000-000051000000}"/>
    <cellStyle name="60% - Accent3" xfId="15" builtinId="40" customBuiltin="1"/>
    <cellStyle name="60% - Accent3 2" xfId="87" xr:uid="{00000000-0005-0000-0000-000053000000}"/>
    <cellStyle name="60% - Accent3 3" xfId="88" xr:uid="{00000000-0005-0000-0000-000054000000}"/>
    <cellStyle name="60% - Accent3 4" xfId="162" xr:uid="{00000000-0005-0000-0000-000055000000}"/>
    <cellStyle name="60% - Accent3 5" xfId="235" xr:uid="{00000000-0005-0000-0000-000056000000}"/>
    <cellStyle name="60% - Accent4" xfId="16" builtinId="44" customBuiltin="1"/>
    <cellStyle name="60% - Accent4 2" xfId="89" xr:uid="{00000000-0005-0000-0000-000058000000}"/>
    <cellStyle name="60% - Accent4 3" xfId="90" xr:uid="{00000000-0005-0000-0000-000059000000}"/>
    <cellStyle name="60% - Accent4 4" xfId="163" xr:uid="{00000000-0005-0000-0000-00005A000000}"/>
    <cellStyle name="60% - Accent4 5" xfId="236" xr:uid="{00000000-0005-0000-0000-00005B000000}"/>
    <cellStyle name="60% - Accent5" xfId="17" builtinId="48" customBuiltin="1"/>
    <cellStyle name="60% - Accent5 2" xfId="91" xr:uid="{00000000-0005-0000-0000-00005D000000}"/>
    <cellStyle name="60% - Accent5 3" xfId="92" xr:uid="{00000000-0005-0000-0000-00005E000000}"/>
    <cellStyle name="60% - Accent5 4" xfId="164" xr:uid="{00000000-0005-0000-0000-00005F000000}"/>
    <cellStyle name="60% - Accent5 5" xfId="237" xr:uid="{00000000-0005-0000-0000-000060000000}"/>
    <cellStyle name="60% - Accent6" xfId="18" builtinId="52" customBuiltin="1"/>
    <cellStyle name="60% - Accent6 2" xfId="93" xr:uid="{00000000-0005-0000-0000-000062000000}"/>
    <cellStyle name="60% - Accent6 3" xfId="94" xr:uid="{00000000-0005-0000-0000-000063000000}"/>
    <cellStyle name="60% - Accent6 4" xfId="165" xr:uid="{00000000-0005-0000-0000-000064000000}"/>
    <cellStyle name="60% - Accent6 5" xfId="238" xr:uid="{00000000-0005-0000-0000-000065000000}"/>
    <cellStyle name="Accent1" xfId="19" builtinId="29" customBuiltin="1"/>
    <cellStyle name="Accent1 2" xfId="95" xr:uid="{00000000-0005-0000-0000-000067000000}"/>
    <cellStyle name="Accent1 3" xfId="96" xr:uid="{00000000-0005-0000-0000-000068000000}"/>
    <cellStyle name="Accent1 4" xfId="166" xr:uid="{00000000-0005-0000-0000-000069000000}"/>
    <cellStyle name="Accent1 5" xfId="239" xr:uid="{00000000-0005-0000-0000-00006A000000}"/>
    <cellStyle name="Accent2" xfId="20" builtinId="33" customBuiltin="1"/>
    <cellStyle name="Accent2 2" xfId="97" xr:uid="{00000000-0005-0000-0000-00006C000000}"/>
    <cellStyle name="Accent2 3" xfId="98" xr:uid="{00000000-0005-0000-0000-00006D000000}"/>
    <cellStyle name="Accent2 4" xfId="167" xr:uid="{00000000-0005-0000-0000-00006E000000}"/>
    <cellStyle name="Accent2 5" xfId="240" xr:uid="{00000000-0005-0000-0000-00006F000000}"/>
    <cellStyle name="Accent3" xfId="21" builtinId="37" customBuiltin="1"/>
    <cellStyle name="Accent3 2" xfId="99" xr:uid="{00000000-0005-0000-0000-000071000000}"/>
    <cellStyle name="Accent3 3" xfId="100" xr:uid="{00000000-0005-0000-0000-000072000000}"/>
    <cellStyle name="Accent3 4" xfId="168" xr:uid="{00000000-0005-0000-0000-000073000000}"/>
    <cellStyle name="Accent3 5" xfId="241" xr:uid="{00000000-0005-0000-0000-000074000000}"/>
    <cellStyle name="Accent4" xfId="22" builtinId="41" customBuiltin="1"/>
    <cellStyle name="Accent4 2" xfId="101" xr:uid="{00000000-0005-0000-0000-000076000000}"/>
    <cellStyle name="Accent4 3" xfId="102" xr:uid="{00000000-0005-0000-0000-000077000000}"/>
    <cellStyle name="Accent4 4" xfId="169" xr:uid="{00000000-0005-0000-0000-000078000000}"/>
    <cellStyle name="Accent4 5" xfId="242" xr:uid="{00000000-0005-0000-0000-000079000000}"/>
    <cellStyle name="Accent5" xfId="23" builtinId="45" customBuiltin="1"/>
    <cellStyle name="Accent5 2" xfId="103" xr:uid="{00000000-0005-0000-0000-00007B000000}"/>
    <cellStyle name="Accent5 3" xfId="104" xr:uid="{00000000-0005-0000-0000-00007C000000}"/>
    <cellStyle name="Accent5 4" xfId="170" xr:uid="{00000000-0005-0000-0000-00007D000000}"/>
    <cellStyle name="Accent5 5" xfId="243" xr:uid="{00000000-0005-0000-0000-00007E000000}"/>
    <cellStyle name="Accent6" xfId="24" builtinId="49" customBuiltin="1"/>
    <cellStyle name="Accent6 2" xfId="105" xr:uid="{00000000-0005-0000-0000-000080000000}"/>
    <cellStyle name="Accent6 3" xfId="106" xr:uid="{00000000-0005-0000-0000-000081000000}"/>
    <cellStyle name="Accent6 4" xfId="171" xr:uid="{00000000-0005-0000-0000-000082000000}"/>
    <cellStyle name="Accent6 5" xfId="244" xr:uid="{00000000-0005-0000-0000-000083000000}"/>
    <cellStyle name="Bad" xfId="25" builtinId="27" customBuiltin="1"/>
    <cellStyle name="Bad 2" xfId="107" xr:uid="{00000000-0005-0000-0000-000085000000}"/>
    <cellStyle name="Bad 3" xfId="108" xr:uid="{00000000-0005-0000-0000-000086000000}"/>
    <cellStyle name="Bad 4" xfId="172" xr:uid="{00000000-0005-0000-0000-000087000000}"/>
    <cellStyle name="Bad 5" xfId="245" xr:uid="{00000000-0005-0000-0000-000088000000}"/>
    <cellStyle name="Calculation" xfId="26" builtinId="22" customBuiltin="1"/>
    <cellStyle name="Calculation 2" xfId="109" xr:uid="{00000000-0005-0000-0000-00008A000000}"/>
    <cellStyle name="Calculation 3" xfId="110" xr:uid="{00000000-0005-0000-0000-00008B000000}"/>
    <cellStyle name="Calculation 4" xfId="173" xr:uid="{00000000-0005-0000-0000-00008C000000}"/>
    <cellStyle name="Calculation 5" xfId="246" xr:uid="{00000000-0005-0000-0000-00008D000000}"/>
    <cellStyle name="Check Cell" xfId="27" builtinId="23" customBuiltin="1"/>
    <cellStyle name="Check Cell 2" xfId="111" xr:uid="{00000000-0005-0000-0000-00008F000000}"/>
    <cellStyle name="Check Cell 3" xfId="112" xr:uid="{00000000-0005-0000-0000-000090000000}"/>
    <cellStyle name="Check Cell 4" xfId="174" xr:uid="{00000000-0005-0000-0000-000091000000}"/>
    <cellStyle name="Check Cell 5" xfId="247" xr:uid="{00000000-0005-0000-0000-000092000000}"/>
    <cellStyle name="Comma" xfId="195" builtinId="3"/>
    <cellStyle name="Comma 2" xfId="175" xr:uid="{00000000-0005-0000-0000-000094000000}"/>
    <cellStyle name="Comma 3" xfId="147" xr:uid="{00000000-0005-0000-0000-000095000000}"/>
    <cellStyle name="Comma 3 2" xfId="248" xr:uid="{00000000-0005-0000-0000-000096000000}"/>
    <cellStyle name="Comma 4" xfId="202" xr:uid="{00000000-0005-0000-0000-000097000000}"/>
    <cellStyle name="Comma 4 2" xfId="249" xr:uid="{00000000-0005-0000-0000-000098000000}"/>
    <cellStyle name="Comma 5" xfId="206" xr:uid="{00000000-0005-0000-0000-000099000000}"/>
    <cellStyle name="Currency 2" xfId="250" xr:uid="{00000000-0005-0000-0000-00009A000000}"/>
    <cellStyle name="Explanatory Text" xfId="28" builtinId="53" customBuiltin="1"/>
    <cellStyle name="Explanatory Text 2" xfId="113" xr:uid="{00000000-0005-0000-0000-00009C000000}"/>
    <cellStyle name="Explanatory Text 3" xfId="114" xr:uid="{00000000-0005-0000-0000-00009D000000}"/>
    <cellStyle name="Explanatory Text 4" xfId="176" xr:uid="{00000000-0005-0000-0000-00009E000000}"/>
    <cellStyle name="Explanatory Text 5" xfId="251" xr:uid="{00000000-0005-0000-0000-00009F000000}"/>
    <cellStyle name="Good" xfId="29" builtinId="26" customBuiltin="1"/>
    <cellStyle name="Good 2" xfId="115" xr:uid="{00000000-0005-0000-0000-0000A1000000}"/>
    <cellStyle name="Good 3" xfId="116" xr:uid="{00000000-0005-0000-0000-0000A2000000}"/>
    <cellStyle name="Good 4" xfId="177" xr:uid="{00000000-0005-0000-0000-0000A3000000}"/>
    <cellStyle name="Good 5" xfId="252" xr:uid="{00000000-0005-0000-0000-0000A4000000}"/>
    <cellStyle name="Heading 1" xfId="30" builtinId="16" customBuiltin="1"/>
    <cellStyle name="Heading 1 2" xfId="117" xr:uid="{00000000-0005-0000-0000-0000A6000000}"/>
    <cellStyle name="Heading 1 3" xfId="118" xr:uid="{00000000-0005-0000-0000-0000A7000000}"/>
    <cellStyle name="Heading 1 4" xfId="178" xr:uid="{00000000-0005-0000-0000-0000A8000000}"/>
    <cellStyle name="Heading 1 5" xfId="253" xr:uid="{00000000-0005-0000-0000-0000A9000000}"/>
    <cellStyle name="Heading 2" xfId="31" builtinId="17" customBuiltin="1"/>
    <cellStyle name="Heading 2 2" xfId="119" xr:uid="{00000000-0005-0000-0000-0000AB000000}"/>
    <cellStyle name="Heading 2 3" xfId="120" xr:uid="{00000000-0005-0000-0000-0000AC000000}"/>
    <cellStyle name="Heading 2 4" xfId="179" xr:uid="{00000000-0005-0000-0000-0000AD000000}"/>
    <cellStyle name="Heading 2 5" xfId="254" xr:uid="{00000000-0005-0000-0000-0000AE000000}"/>
    <cellStyle name="Heading 3" xfId="32" builtinId="18" customBuiltin="1"/>
    <cellStyle name="Heading 3 2" xfId="121" xr:uid="{00000000-0005-0000-0000-0000B0000000}"/>
    <cellStyle name="Heading 3 3" xfId="122" xr:uid="{00000000-0005-0000-0000-0000B1000000}"/>
    <cellStyle name="Heading 3 4" xfId="180" xr:uid="{00000000-0005-0000-0000-0000B2000000}"/>
    <cellStyle name="Heading 3 5" xfId="255" xr:uid="{00000000-0005-0000-0000-0000B3000000}"/>
    <cellStyle name="Heading 4" xfId="33" builtinId="19" customBuiltin="1"/>
    <cellStyle name="Heading 4 2" xfId="123" xr:uid="{00000000-0005-0000-0000-0000B5000000}"/>
    <cellStyle name="Heading 4 3" xfId="124" xr:uid="{00000000-0005-0000-0000-0000B6000000}"/>
    <cellStyle name="Heading 4 4" xfId="181" xr:uid="{00000000-0005-0000-0000-0000B7000000}"/>
    <cellStyle name="Heading 4 5" xfId="256" xr:uid="{00000000-0005-0000-0000-0000B8000000}"/>
    <cellStyle name="Hyperlink" xfId="338" builtinId="8"/>
    <cellStyle name="Input" xfId="34" builtinId="20" customBuiltin="1"/>
    <cellStyle name="Input 2" xfId="125" xr:uid="{00000000-0005-0000-0000-0000BB000000}"/>
    <cellStyle name="Input 3" xfId="126" xr:uid="{00000000-0005-0000-0000-0000BC000000}"/>
    <cellStyle name="Input 4" xfId="182" xr:uid="{00000000-0005-0000-0000-0000BD000000}"/>
    <cellStyle name="Input 5" xfId="257" xr:uid="{00000000-0005-0000-0000-0000BE000000}"/>
    <cellStyle name="Linked Cell" xfId="35" builtinId="24" customBuiltin="1"/>
    <cellStyle name="Linked Cell 2" xfId="127" xr:uid="{00000000-0005-0000-0000-0000C0000000}"/>
    <cellStyle name="Linked Cell 3" xfId="128" xr:uid="{00000000-0005-0000-0000-0000C1000000}"/>
    <cellStyle name="Linked Cell 4" xfId="183" xr:uid="{00000000-0005-0000-0000-0000C2000000}"/>
    <cellStyle name="Linked Cell 5" xfId="258" xr:uid="{00000000-0005-0000-0000-0000C3000000}"/>
    <cellStyle name="Neutral" xfId="36" builtinId="28" customBuiltin="1"/>
    <cellStyle name="Neutral 2" xfId="129" xr:uid="{00000000-0005-0000-0000-0000C5000000}"/>
    <cellStyle name="Neutral 3" xfId="130" xr:uid="{00000000-0005-0000-0000-0000C6000000}"/>
    <cellStyle name="Neutral 4" xfId="184" xr:uid="{00000000-0005-0000-0000-0000C7000000}"/>
    <cellStyle name="Neutral 5" xfId="259" xr:uid="{00000000-0005-0000-0000-0000C8000000}"/>
    <cellStyle name="Normal" xfId="0" builtinId="0"/>
    <cellStyle name="Normal 10" xfId="50" xr:uid="{00000000-0005-0000-0000-0000CA000000}"/>
    <cellStyle name="Normal 10 2" xfId="260" xr:uid="{00000000-0005-0000-0000-0000CB000000}"/>
    <cellStyle name="Normal 100" xfId="361" xr:uid="{B2ACEB01-9E20-4F98-9B20-DB39E893BAD3}"/>
    <cellStyle name="Normal 101" xfId="362" xr:uid="{416950D2-A735-4352-8BEE-40D3B2F8511F}"/>
    <cellStyle name="Normal 102" xfId="363" xr:uid="{DE1D7B04-D71E-4FBD-BE7B-C78E43BA0901}"/>
    <cellStyle name="Normal 103" xfId="364" xr:uid="{602CA0F8-619B-4D8A-B42C-71DC2ECAD991}"/>
    <cellStyle name="Normal 104" xfId="365" xr:uid="{A97C929D-F3E7-4E54-A011-A3773E37F44A}"/>
    <cellStyle name="Normal 105" xfId="366" xr:uid="{F8C2B9F7-1085-49F0-81A6-3A3E8856FE64}"/>
    <cellStyle name="Normal 106" xfId="367" xr:uid="{6F11EED0-C55B-4C63-B059-37CB14B85553}"/>
    <cellStyle name="Normal 11" xfId="51" xr:uid="{00000000-0005-0000-0000-0000CC000000}"/>
    <cellStyle name="Normal 11 2" xfId="261" xr:uid="{00000000-0005-0000-0000-0000CD000000}"/>
    <cellStyle name="Normal 12" xfId="52" xr:uid="{00000000-0005-0000-0000-0000CE000000}"/>
    <cellStyle name="Normal 12 2" xfId="262" xr:uid="{00000000-0005-0000-0000-0000CF000000}"/>
    <cellStyle name="Normal 13" xfId="53" xr:uid="{00000000-0005-0000-0000-0000D0000000}"/>
    <cellStyle name="Normal 13 2" xfId="263" xr:uid="{00000000-0005-0000-0000-0000D1000000}"/>
    <cellStyle name="Normal 14" xfId="54" xr:uid="{00000000-0005-0000-0000-0000D2000000}"/>
    <cellStyle name="Normal 14 2" xfId="264" xr:uid="{00000000-0005-0000-0000-0000D3000000}"/>
    <cellStyle name="Normal 15" xfId="55" xr:uid="{00000000-0005-0000-0000-0000D4000000}"/>
    <cellStyle name="Normal 15 2" xfId="265" xr:uid="{00000000-0005-0000-0000-0000D5000000}"/>
    <cellStyle name="Normal 16" xfId="56" xr:uid="{00000000-0005-0000-0000-0000D6000000}"/>
    <cellStyle name="Normal 16 2" xfId="266" xr:uid="{00000000-0005-0000-0000-0000D7000000}"/>
    <cellStyle name="Normal 17" xfId="57" xr:uid="{00000000-0005-0000-0000-0000D8000000}"/>
    <cellStyle name="Normal 17 2" xfId="267" xr:uid="{00000000-0005-0000-0000-0000D9000000}"/>
    <cellStyle name="Normal 18" xfId="58" xr:uid="{00000000-0005-0000-0000-0000DA000000}"/>
    <cellStyle name="Normal 19" xfId="141" xr:uid="{00000000-0005-0000-0000-0000DB000000}"/>
    <cellStyle name="Normal 19 2" xfId="268" xr:uid="{00000000-0005-0000-0000-0000DC000000}"/>
    <cellStyle name="Normal 2" xfId="37" xr:uid="{00000000-0005-0000-0000-0000DD000000}"/>
    <cellStyle name="Normal 2 2" xfId="269" xr:uid="{00000000-0005-0000-0000-0000DE000000}"/>
    <cellStyle name="Normal 20" xfId="143" xr:uid="{00000000-0005-0000-0000-0000DF000000}"/>
    <cellStyle name="Normal 20 2" xfId="270" xr:uid="{00000000-0005-0000-0000-0000E0000000}"/>
    <cellStyle name="Normal 21" xfId="144" xr:uid="{00000000-0005-0000-0000-0000E1000000}"/>
    <cellStyle name="Normal 21 2" xfId="271" xr:uid="{00000000-0005-0000-0000-0000E2000000}"/>
    <cellStyle name="Normal 22" xfId="145" xr:uid="{00000000-0005-0000-0000-0000E3000000}"/>
    <cellStyle name="Normal 22 2" xfId="146" xr:uid="{00000000-0005-0000-0000-0000E4000000}"/>
    <cellStyle name="Normal 22 2 2" xfId="272" xr:uid="{00000000-0005-0000-0000-0000E5000000}"/>
    <cellStyle name="Normal 22 3" xfId="273" xr:uid="{00000000-0005-0000-0000-0000E6000000}"/>
    <cellStyle name="Normal 23" xfId="185" xr:uid="{00000000-0005-0000-0000-0000E7000000}"/>
    <cellStyle name="Normal 23 2" xfId="274" xr:uid="{00000000-0005-0000-0000-0000E8000000}"/>
    <cellStyle name="Normal 24" xfId="186" xr:uid="{00000000-0005-0000-0000-0000E9000000}"/>
    <cellStyle name="Normal 24 2" xfId="275" xr:uid="{00000000-0005-0000-0000-0000EA000000}"/>
    <cellStyle name="Normal 25" xfId="192" xr:uid="{00000000-0005-0000-0000-0000EB000000}"/>
    <cellStyle name="Normal 25 2" xfId="276" xr:uid="{00000000-0005-0000-0000-0000EC000000}"/>
    <cellStyle name="Normal 26" xfId="193" xr:uid="{00000000-0005-0000-0000-0000ED000000}"/>
    <cellStyle name="Normal 26 2" xfId="277" xr:uid="{00000000-0005-0000-0000-0000EE000000}"/>
    <cellStyle name="Normal 27" xfId="194" xr:uid="{00000000-0005-0000-0000-0000EF000000}"/>
    <cellStyle name="Normal 27 2" xfId="278" xr:uid="{00000000-0005-0000-0000-0000F0000000}"/>
    <cellStyle name="Normal 28" xfId="196" xr:uid="{00000000-0005-0000-0000-0000F1000000}"/>
    <cellStyle name="Normal 29" xfId="197" xr:uid="{00000000-0005-0000-0000-0000F2000000}"/>
    <cellStyle name="Normal 29 2" xfId="279" xr:uid="{00000000-0005-0000-0000-0000F3000000}"/>
    <cellStyle name="Normal 29 3" xfId="332" xr:uid="{00000000-0005-0000-0000-0000F4000000}"/>
    <cellStyle name="Normal 3" xfId="43" xr:uid="{00000000-0005-0000-0000-0000F5000000}"/>
    <cellStyle name="Normal 3 2" xfId="205" xr:uid="{00000000-0005-0000-0000-0000F6000000}"/>
    <cellStyle name="Normal 3 3" xfId="333" xr:uid="{00000000-0005-0000-0000-0000F7000000}"/>
    <cellStyle name="Normal 30" xfId="198" xr:uid="{00000000-0005-0000-0000-0000F8000000}"/>
    <cellStyle name="Normal 31" xfId="199" xr:uid="{00000000-0005-0000-0000-0000F9000000}"/>
    <cellStyle name="Normal 32" xfId="200" xr:uid="{00000000-0005-0000-0000-0000FA000000}"/>
    <cellStyle name="Normal 33" xfId="201" xr:uid="{00000000-0005-0000-0000-0000FB000000}"/>
    <cellStyle name="Normal 33 2" xfId="280" xr:uid="{00000000-0005-0000-0000-0000FC000000}"/>
    <cellStyle name="Normal 34" xfId="204" xr:uid="{00000000-0005-0000-0000-0000FD000000}"/>
    <cellStyle name="Normal 35" xfId="207" xr:uid="{00000000-0005-0000-0000-0000FE000000}"/>
    <cellStyle name="Normal 36" xfId="281" xr:uid="{00000000-0005-0000-0000-0000FF000000}"/>
    <cellStyle name="Normal 37" xfId="282" xr:uid="{00000000-0005-0000-0000-000000010000}"/>
    <cellStyle name="Normal 38" xfId="283" xr:uid="{00000000-0005-0000-0000-000001010000}"/>
    <cellStyle name="Normal 39" xfId="284" xr:uid="{00000000-0005-0000-0000-000002010000}"/>
    <cellStyle name="Normal 4" xfId="44" xr:uid="{00000000-0005-0000-0000-000003010000}"/>
    <cellStyle name="Normal 4 2" xfId="203" xr:uid="{00000000-0005-0000-0000-000004010000}"/>
    <cellStyle name="Normal 4 2 2" xfId="285" xr:uid="{00000000-0005-0000-0000-000005010000}"/>
    <cellStyle name="Normal 40" xfId="286" xr:uid="{00000000-0005-0000-0000-000006010000}"/>
    <cellStyle name="Normal 41" xfId="287" xr:uid="{00000000-0005-0000-0000-000007010000}"/>
    <cellStyle name="Normal 42" xfId="288" xr:uid="{00000000-0005-0000-0000-000008010000}"/>
    <cellStyle name="Normal 43" xfId="289" xr:uid="{00000000-0005-0000-0000-000009010000}"/>
    <cellStyle name="Normal 44" xfId="290" xr:uid="{00000000-0005-0000-0000-00000A010000}"/>
    <cellStyle name="Normal 45" xfId="291" xr:uid="{00000000-0005-0000-0000-00000B010000}"/>
    <cellStyle name="Normal 46" xfId="292" xr:uid="{00000000-0005-0000-0000-00000C010000}"/>
    <cellStyle name="Normal 47" xfId="293" xr:uid="{00000000-0005-0000-0000-00000D010000}"/>
    <cellStyle name="Normal 48" xfId="294" xr:uid="{00000000-0005-0000-0000-00000E010000}"/>
    <cellStyle name="Normal 49" xfId="295" xr:uid="{00000000-0005-0000-0000-00000F010000}"/>
    <cellStyle name="Normal 5" xfId="45" xr:uid="{00000000-0005-0000-0000-000010010000}"/>
    <cellStyle name="Normal 5 2" xfId="296" xr:uid="{00000000-0005-0000-0000-000011010000}"/>
    <cellStyle name="Normal 50" xfId="297" xr:uid="{00000000-0005-0000-0000-000012010000}"/>
    <cellStyle name="Normal 51" xfId="298" xr:uid="{00000000-0005-0000-0000-000013010000}"/>
    <cellStyle name="Normal 52" xfId="299" xr:uid="{00000000-0005-0000-0000-000014010000}"/>
    <cellStyle name="Normal 53" xfId="300" xr:uid="{00000000-0005-0000-0000-000015010000}"/>
    <cellStyle name="Normal 54" xfId="301" xr:uid="{00000000-0005-0000-0000-000016010000}"/>
    <cellStyle name="Normal 55" xfId="302" xr:uid="{00000000-0005-0000-0000-000017010000}"/>
    <cellStyle name="Normal 56" xfId="303" xr:uid="{00000000-0005-0000-0000-000018010000}"/>
    <cellStyle name="Normal 57" xfId="304" xr:uid="{00000000-0005-0000-0000-000019010000}"/>
    <cellStyle name="Normal 58" xfId="305" xr:uid="{00000000-0005-0000-0000-00001A010000}"/>
    <cellStyle name="Normal 59" xfId="306" xr:uid="{00000000-0005-0000-0000-00001B010000}"/>
    <cellStyle name="Normal 6" xfId="46" xr:uid="{00000000-0005-0000-0000-00001C010000}"/>
    <cellStyle name="Normal 6 2" xfId="307" xr:uid="{00000000-0005-0000-0000-00001D010000}"/>
    <cellStyle name="Normal 60" xfId="308" xr:uid="{00000000-0005-0000-0000-00001E010000}"/>
    <cellStyle name="Normal 61" xfId="309" xr:uid="{00000000-0005-0000-0000-00001F010000}"/>
    <cellStyle name="Normal 62" xfId="310" xr:uid="{00000000-0005-0000-0000-000020010000}"/>
    <cellStyle name="Normal 63" xfId="311" xr:uid="{00000000-0005-0000-0000-000021010000}"/>
    <cellStyle name="Normal 64" xfId="312" xr:uid="{00000000-0005-0000-0000-000022010000}"/>
    <cellStyle name="Normal 65" xfId="313" xr:uid="{00000000-0005-0000-0000-000023010000}"/>
    <cellStyle name="Normal 66" xfId="314" xr:uid="{00000000-0005-0000-0000-000024010000}"/>
    <cellStyle name="Normal 67" xfId="315" xr:uid="{00000000-0005-0000-0000-000025010000}"/>
    <cellStyle name="Normal 68" xfId="316" xr:uid="{00000000-0005-0000-0000-000026010000}"/>
    <cellStyle name="Normal 69" xfId="317" xr:uid="{00000000-0005-0000-0000-000027010000}"/>
    <cellStyle name="Normal 7" xfId="47" xr:uid="{00000000-0005-0000-0000-000028010000}"/>
    <cellStyle name="Normal 7 2" xfId="318" xr:uid="{00000000-0005-0000-0000-000029010000}"/>
    <cellStyle name="Normal 70" xfId="319" xr:uid="{00000000-0005-0000-0000-00002A010000}"/>
    <cellStyle name="Normal 71" xfId="320" xr:uid="{00000000-0005-0000-0000-00002B010000}"/>
    <cellStyle name="Normal 72" xfId="321" xr:uid="{00000000-0005-0000-0000-00002C010000}"/>
    <cellStyle name="Normal 73" xfId="208" xr:uid="{00000000-0005-0000-0000-00002D010000}"/>
    <cellStyle name="Normal 74" xfId="334" xr:uid="{00000000-0005-0000-0000-00002E010000}"/>
    <cellStyle name="Normal 75" xfId="335" xr:uid="{00000000-0005-0000-0000-00002F010000}"/>
    <cellStyle name="Normal 76" xfId="336" xr:uid="{00000000-0005-0000-0000-000030010000}"/>
    <cellStyle name="Normal 77" xfId="337" xr:uid="{00000000-0005-0000-0000-000031010000}"/>
    <cellStyle name="Normal 78" xfId="339" xr:uid="{00000000-0005-0000-0000-000032010000}"/>
    <cellStyle name="Normal 79" xfId="340" xr:uid="{00000000-0005-0000-0000-000033010000}"/>
    <cellStyle name="Normal 8" xfId="48" xr:uid="{00000000-0005-0000-0000-000034010000}"/>
    <cellStyle name="Normal 8 2" xfId="142" xr:uid="{00000000-0005-0000-0000-000035010000}"/>
    <cellStyle name="Normal 8 2 2" xfId="322" xr:uid="{00000000-0005-0000-0000-000036010000}"/>
    <cellStyle name="Normal 8 3" xfId="323" xr:uid="{00000000-0005-0000-0000-000037010000}"/>
    <cellStyle name="Normal 80" xfId="341" xr:uid="{00000000-0005-0000-0000-000038010000}"/>
    <cellStyle name="Normal 81" xfId="342" xr:uid="{00000000-0005-0000-0000-000039010000}"/>
    <cellStyle name="Normal 82" xfId="343" xr:uid="{00000000-0005-0000-0000-00003A010000}"/>
    <cellStyle name="Normal 83" xfId="344" xr:uid="{00000000-0005-0000-0000-00003B010000}"/>
    <cellStyle name="Normal 84" xfId="345" xr:uid="{92C41D18-9B69-4CB9-B839-1ECCEC10931B}"/>
    <cellStyle name="Normal 85" xfId="346" xr:uid="{ED62837E-F51E-4E47-9DEC-A1CF5813E640}"/>
    <cellStyle name="Normal 86" xfId="347" xr:uid="{D78CB819-689C-4F7C-B8EE-3C3814D713F7}"/>
    <cellStyle name="Normal 87" xfId="348" xr:uid="{03DA5321-5CE4-4AE1-9123-201A62F438CC}"/>
    <cellStyle name="Normal 88" xfId="349" xr:uid="{9EE8EFD2-88F7-4352-8665-BDEA50CCAE95}"/>
    <cellStyle name="Normal 89" xfId="350" xr:uid="{C8DFE579-C399-4771-AB9E-E4C8EE1B8674}"/>
    <cellStyle name="Normal 9" xfId="49" xr:uid="{00000000-0005-0000-0000-00003C010000}"/>
    <cellStyle name="Normal 9 2" xfId="324" xr:uid="{00000000-0005-0000-0000-00003D010000}"/>
    <cellStyle name="Normal 90" xfId="351" xr:uid="{B0F6BE23-D07A-4DB4-A396-DBA51087C2B6}"/>
    <cellStyle name="Normal 91" xfId="352" xr:uid="{E2B39D73-5E6D-456E-9B78-C42938DCBA03}"/>
    <cellStyle name="Normal 92" xfId="353" xr:uid="{86ED0082-EBAF-404B-A4FC-48A05B444A7E}"/>
    <cellStyle name="Normal 93" xfId="354" xr:uid="{77CD28BF-E0F2-4CE1-8D4E-067319FBF04B}"/>
    <cellStyle name="Normal 94" xfId="355" xr:uid="{222573DB-7D51-4F6B-A095-FE65FB37A689}"/>
    <cellStyle name="Normal 95" xfId="356" xr:uid="{DBE71ADE-21A0-4CD5-AA01-97154086AC30}"/>
    <cellStyle name="Normal 96" xfId="357" xr:uid="{3C109261-DFF2-442A-A82F-AFEFC0733E4F}"/>
    <cellStyle name="Normal 97" xfId="358" xr:uid="{BC1D4DFB-9932-48FA-97F1-F8551640ED9F}"/>
    <cellStyle name="Normal 98" xfId="359" xr:uid="{EF0B4F3F-0623-4262-B846-6397960181CF}"/>
    <cellStyle name="Normal 99" xfId="360" xr:uid="{06FBC862-D97A-4EBB-82F7-3A60F60E8233}"/>
    <cellStyle name="Note" xfId="38" builtinId="10" customBuiltin="1"/>
    <cellStyle name="Note 2" xfId="131" xr:uid="{00000000-0005-0000-0000-00003F010000}"/>
    <cellStyle name="Note 3" xfId="132" xr:uid="{00000000-0005-0000-0000-000040010000}"/>
    <cellStyle name="Note 4" xfId="187" xr:uid="{00000000-0005-0000-0000-000041010000}"/>
    <cellStyle name="Note 4 2" xfId="325" xr:uid="{00000000-0005-0000-0000-000042010000}"/>
    <cellStyle name="Note 5" xfId="326" xr:uid="{00000000-0005-0000-0000-000043010000}"/>
    <cellStyle name="Output" xfId="39" builtinId="21" customBuiltin="1"/>
    <cellStyle name="Output 2" xfId="133" xr:uid="{00000000-0005-0000-0000-000045010000}"/>
    <cellStyle name="Output 3" xfId="134" xr:uid="{00000000-0005-0000-0000-000046010000}"/>
    <cellStyle name="Output 4" xfId="188" xr:uid="{00000000-0005-0000-0000-000047010000}"/>
    <cellStyle name="Output 5" xfId="327" xr:uid="{00000000-0005-0000-0000-000048010000}"/>
    <cellStyle name="Percent 2" xfId="328" xr:uid="{00000000-0005-0000-0000-000049010000}"/>
    <cellStyle name="Title" xfId="40" builtinId="15" customBuiltin="1"/>
    <cellStyle name="Title 2" xfId="135" xr:uid="{00000000-0005-0000-0000-00004B010000}"/>
    <cellStyle name="Title 3" xfId="136" xr:uid="{00000000-0005-0000-0000-00004C010000}"/>
    <cellStyle name="Title 4" xfId="189" xr:uid="{00000000-0005-0000-0000-00004D010000}"/>
    <cellStyle name="Title 5" xfId="329" xr:uid="{00000000-0005-0000-0000-00004E010000}"/>
    <cellStyle name="Total" xfId="41" builtinId="25" customBuiltin="1"/>
    <cellStyle name="Total 2" xfId="137" xr:uid="{00000000-0005-0000-0000-000050010000}"/>
    <cellStyle name="Total 3" xfId="138" xr:uid="{00000000-0005-0000-0000-000051010000}"/>
    <cellStyle name="Total 4" xfId="190" xr:uid="{00000000-0005-0000-0000-000052010000}"/>
    <cellStyle name="Total 5" xfId="330" xr:uid="{00000000-0005-0000-0000-000053010000}"/>
    <cellStyle name="Warning Text" xfId="42" builtinId="11" customBuiltin="1"/>
    <cellStyle name="Warning Text 2" xfId="139" xr:uid="{00000000-0005-0000-0000-000055010000}"/>
    <cellStyle name="Warning Text 3" xfId="140" xr:uid="{00000000-0005-0000-0000-000056010000}"/>
    <cellStyle name="Warning Text 4" xfId="191" xr:uid="{00000000-0005-0000-0000-000057010000}"/>
    <cellStyle name="Warning Text 5" xfId="331" xr:uid="{00000000-0005-0000-0000-000058010000}"/>
  </cellStyles>
  <dxfs count="6">
    <dxf>
      <numFmt numFmtId="0" formatCode="General"/>
      <fill>
        <patternFill patternType="solid">
          <fgColor indexed="64"/>
          <bgColor rgb="FFFF00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CC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723900</xdr:colOff>
          <xdr:row>3</xdr:row>
          <xdr:rowOff>133350</xdr:rowOff>
        </xdr:from>
        <xdr:to>
          <xdr:col>11</xdr:col>
          <xdr:colOff>584200</xdr:colOff>
          <xdr:row>7</xdr:row>
          <xdr:rowOff>57150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2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Fetch Sales After Bank Settlement Cut-off Time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285750</xdr:colOff>
          <xdr:row>3</xdr:row>
          <xdr:rowOff>0</xdr:rowOff>
        </xdr:from>
        <xdr:to>
          <xdr:col>11</xdr:col>
          <xdr:colOff>209550</xdr:colOff>
          <xdr:row>6</xdr:row>
          <xdr:rowOff>133350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3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Fetch Sales in Midnight Drawers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203200</xdr:colOff>
          <xdr:row>10</xdr:row>
          <xdr:rowOff>0</xdr:rowOff>
        </xdr:from>
        <xdr:to>
          <xdr:col>11</xdr:col>
          <xdr:colOff>393700</xdr:colOff>
          <xdr:row>14</xdr:row>
          <xdr:rowOff>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3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Categorize Sales As Per Transaction Time 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10</xdr:col>
      <xdr:colOff>761996</xdr:colOff>
      <xdr:row>7</xdr:row>
      <xdr:rowOff>31751</xdr:rowOff>
    </xdr:from>
    <xdr:to>
      <xdr:col>10</xdr:col>
      <xdr:colOff>1037163</xdr:colOff>
      <xdr:row>10</xdr:row>
      <xdr:rowOff>0</xdr:rowOff>
    </xdr:to>
    <xdr:sp macro="" textlink="">
      <xdr:nvSpPr>
        <xdr:cNvPr id="2" name="Arrow: Down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1726330" y="1143001"/>
          <a:ext cx="275167" cy="444501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336550</xdr:colOff>
          <xdr:row>3</xdr:row>
          <xdr:rowOff>38100</xdr:rowOff>
        </xdr:from>
        <xdr:to>
          <xdr:col>14</xdr:col>
          <xdr:colOff>361950</xdr:colOff>
          <xdr:row>6</xdr:row>
          <xdr:rowOff>152400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3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Show Midnight Drawers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5</xdr:col>
      <xdr:colOff>47625</xdr:colOff>
      <xdr:row>3</xdr:row>
      <xdr:rowOff>85725</xdr:rowOff>
    </xdr:to>
    <xdr:pic>
      <xdr:nvPicPr>
        <xdr:cNvPr id="4" name="Picture 4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4800" y="171450"/>
          <a:ext cx="2714625" cy="428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Sales After Bank Settlement Time_2" firstBackgroundRefresh="1" growShrinkType="overwriteClear" fillFormulas="1" adjustColumnWidth="0" connectionId="13" xr16:uid="{A0E72565-79F9-4C5B-A4CA-F39F1F6258CB}" autoFormatId="16" applyNumberFormats="0" applyBorderFormats="0" applyFontFormats="1" applyPatternFormats="1" applyAlignmentFormats="0" applyWidthHeightFormats="0">
  <queryTableRefresh>
    <queryTableFields/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Sales After Bank Settlement Time_5" backgroundRefresh="0" growShrinkType="overwriteClear" fillFormulas="1" adjustColumnWidth="0" connectionId="5" xr16:uid="{071A24C9-AD32-42B3-9E30-96ED00BB105A}" autoFormatId="16" applyNumberFormats="0" applyBorderFormats="0" applyFontFormats="1" applyPatternFormats="1" applyAlignmentFormats="0" applyWidthHeightFormats="0">
  <queryTableRefresh nextId="4">
    <queryTableFields count="3">
      <queryTableField id="1" name="store_code"/>
      <queryTableField id="2" name="tender_type"/>
      <queryTableField id="3" name="tender_amount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Sales After Bank Settlement Time_1" firstBackgroundRefresh="1" growShrinkType="overwriteClear" fillFormulas="1" adjustColumnWidth="0" connectionId="2" xr16:uid="{B87256B7-50F2-4461-B74E-3A7EE5115592}" autoFormatId="16" applyNumberFormats="0" applyBorderFormats="0" applyFontFormats="1" applyPatternFormats="1" applyAlignmentFormats="0" applyWidthHeightFormats="0">
  <queryTableRefresh>
    <queryTableFields/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Sales After Bank Settlement Time_4" backgroundRefresh="0" growShrinkType="overwriteClear" fillFormulas="1" adjustColumnWidth="0" connectionId="4" xr16:uid="{B92F36D2-66E9-46D9-A04B-6FEF03D6783D}" autoFormatId="16" applyNumberFormats="0" applyBorderFormats="0" applyFontFormats="1" applyPatternFormats="1" applyAlignmentFormats="0" applyWidthHeightFormats="0">
  <queryTableRefresh nextId="4">
    <queryTableFields count="3">
      <queryTableField id="1" name="store_code"/>
      <queryTableField id="2" name="tender_type"/>
      <queryTableField id="3" name="tender_amount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Sales After Bank Settlement Time" backgroundRefresh="0" growShrinkType="overwriteClear" fillFormulas="1" adjustColumnWidth="0" connectionId="1" xr16:uid="{8C5DAF56-7AF3-421F-8894-9659AC20FA78}" autoFormatId="16" applyNumberFormats="0" applyBorderFormats="0" applyFontFormats="1" applyPatternFormats="1" applyAlignmentFormats="0" applyWidthHeightFormats="0">
  <queryTableRefresh nextId="4">
    <queryTableFields count="3">
      <queryTableField id="1" name="store_code"/>
      <queryTableField id="2" name="tender_type"/>
      <queryTableField id="3" name="tender_amount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Sales After Bank Settlement Time_6" backgroundRefresh="0" growShrinkType="overwriteClear" fillFormulas="1" adjustColumnWidth="0" connectionId="9" xr16:uid="{519E8194-FFF9-40E3-B867-20B5DEBCB78D}" autoFormatId="16" applyNumberFormats="0" applyBorderFormats="0" applyFontFormats="1" applyPatternFormats="1" applyAlignmentFormats="0" applyWidthHeightFormats="0">
  <queryTableRefresh nextId="4">
    <queryTableFields count="3">
      <queryTableField id="1" name="store_code"/>
      <queryTableField id="2" name="tender_type"/>
      <queryTableField id="3" name="tender_amount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Sales After Bank Settlement Time_3" backgroundRefresh="0" growShrinkType="overwriteClear" fillFormulas="1" adjustColumnWidth="0" connectionId="19" xr16:uid="{14A21A5E-102A-4508-8768-E4BB31249E7D}" autoFormatId="16" applyNumberFormats="0" applyBorderFormats="0" applyFontFormats="1" applyPatternFormats="1" applyAlignmentFormats="0" applyWidthHeightFormats="0">
  <queryTableRefresh nextId="4">
    <queryTableFields count="3">
      <queryTableField id="1" name="store_code"/>
      <queryTableField id="2" name="tender_type"/>
      <queryTableField id="3" name="tender_amount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Sales After Bank Settlement Time_7" backgroundRefresh="0" growShrinkType="overwriteClear" fillFormulas="1" adjustColumnWidth="0" connectionId="14" xr16:uid="{AD16040B-CC9B-4EEE-A155-FB99C8CDEE77}" autoFormatId="16" applyNumberFormats="0" applyBorderFormats="0" applyFontFormats="1" applyPatternFormats="1" applyAlignmentFormats="0" applyWidthHeightFormats="0">
  <queryTableRefresh nextId="4">
    <queryTableFields count="3">
      <queryTableField id="1" name="store_code"/>
      <queryTableField id="2" name="tender_type"/>
      <queryTableField id="3" name="tender_amount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Sales in midnight drawers_7" backgroundRefresh="0" growShrinkType="overwriteClear" fillFormulas="1" adjustColumnWidth="0" connectionId="12" xr16:uid="{87EC3313-5CE8-4FF6-AE00-FD18A7587761}" autoFormatId="16" applyNumberFormats="0" applyBorderFormats="0" applyFontFormats="1" applyPatternFormats="1" applyAlignmentFormats="0" applyWidthHeightFormats="0">
  <queryTableRefresh nextId="6">
    <queryTableFields count="5">
      <queryTableField id="1" name="store_code"/>
      <queryTableField id="2" name="midnightdrawer_code"/>
      <queryTableField id="3" name="transaction_date_time"/>
      <queryTableField id="4" name="tendertype"/>
      <queryTableField id="5" name="tran_total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Sales in midnight drawers_9" backgroundRefresh="0" growShrinkType="overwriteClear" fillFormulas="1" adjustColumnWidth="0" connectionId="18" xr16:uid="{98197F09-6493-4AB7-865E-D9057790FBFD}" autoFormatId="16" applyNumberFormats="0" applyBorderFormats="0" applyFontFormats="1" applyPatternFormats="1" applyAlignmentFormats="0" applyWidthHeightFormats="0">
  <queryTableRefresh nextId="9">
    <queryTableFields count="5">
      <queryTableField id="1" name="store_code"/>
      <queryTableField id="2" name="midnightdrawer_code"/>
      <queryTableField id="3" name="transaction_date_time"/>
      <queryTableField id="4" name="tendertype"/>
      <queryTableField id="5" name="tran_total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how Midnight Drawer" backgroundRefresh="0" growShrinkType="overwriteClear" fillFormulas="1" adjustColumnWidth="0" connectionId="23" xr16:uid="{BCBE8ACF-45D5-49C9-967B-18632885A032}" autoFormatId="16" applyNumberFormats="0" applyBorderFormats="0" applyFontFormats="1" applyPatternFormats="1" applyAlignmentFormats="0" applyWidthHeightFormats="0">
  <queryTableRefresh nextId="13">
    <queryTableFields count="12">
      <queryTableField id="1" name="Issued Date"/>
      <queryTableField id="2" name="Rec Date"/>
      <queryTableField id="3" name="Store"/>
      <queryTableField id="4" name="GL Trans Date"/>
      <queryTableField id="5" name="Co"/>
      <queryTableField id="6" name="GL Desc"/>
      <queryTableField id="7" name="Account"/>
      <queryTableField id="8" name="$"/>
      <queryTableField id="12" dataBound="0" fillFormulas="1"/>
      <queryTableField id="9" name="Desc"/>
      <queryTableField id="10" name="GL Translation"/>
      <queryTableField id="11" name="Drawer"/>
    </queryTable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Sales in midnight drawers_8" backgroundRefresh="0" growShrinkType="overwriteClear" fillFormulas="1" adjustColumnWidth="0" connectionId="17" xr16:uid="{F98801B6-A0BE-43A7-8F25-706AB9A30BB3}" autoFormatId="16" applyNumberFormats="0" applyBorderFormats="0" applyFontFormats="1" applyPatternFormats="1" applyAlignmentFormats="0" applyWidthHeightFormats="0">
  <queryTableRefresh nextId="6">
    <queryTableFields count="5">
      <queryTableField id="1" name="store_code"/>
      <queryTableField id="2" name="midnightdrawer_code"/>
      <queryTableField id="3" name="transaction_date_time"/>
      <queryTableField id="4" name="tendertype"/>
      <queryTableField id="5" name="tran_total"/>
    </queryTableFields>
  </queryTableRefresh>
</queryTable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Sales in midnight drawers_3" backgroundRefresh="0" growShrinkType="overwriteClear" fillFormulas="1" adjustColumnWidth="0" connectionId="24" xr16:uid="{21D97B8E-4E7E-4D89-A3C3-9C29C90A5CC7}" autoFormatId="16" applyNumberFormats="0" applyBorderFormats="0" applyFontFormats="1" applyPatternFormats="1" applyAlignmentFormats="0" applyWidthHeightFormats="0">
  <queryTableRefresh nextId="6">
    <queryTableFields count="5">
      <queryTableField id="1" name="store_code"/>
      <queryTableField id="2" name="midnightdrawer_code"/>
      <queryTableField id="3" name="transaction_date_time"/>
      <queryTableField id="4" name="tendertype"/>
      <queryTableField id="5" name="tran_total"/>
    </queryTableFields>
  </queryTableRefresh>
</queryTable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Sales in midnight drawers_1" backgroundRefresh="0" growShrinkType="overwriteClear" fillFormulas="1" adjustColumnWidth="0" connectionId="21" xr16:uid="{DB7E17A0-FD5D-430F-96C8-5DAE227E4FE0}" autoFormatId="16" applyNumberFormats="0" applyBorderFormats="0" applyFontFormats="1" applyPatternFormats="1" applyAlignmentFormats="0" applyWidthHeightFormats="0">
  <queryTableRefresh nextId="15">
    <queryTableFields count="5">
      <queryTableField id="1" name="store_code"/>
      <queryTableField id="2" name="virtualdrawer_code"/>
      <queryTableField id="3" name="transaction_date_time"/>
      <queryTableField id="4" name="tendertype_mnemonic"/>
      <queryTableField id="5" name="net_tran_total"/>
    </queryTableFields>
  </queryTableRefresh>
</queryTable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Sales in midnight drawers" backgroundRefresh="0" growShrinkType="overwriteClear" fillFormulas="1" adjustColumnWidth="0" connectionId="20" xr16:uid="{505AC360-0293-447D-936C-5AF2E8A85A8B}" autoFormatId="16" applyNumberFormats="0" applyBorderFormats="0" applyFontFormats="1" applyPatternFormats="1" applyAlignmentFormats="0" applyWidthHeightFormats="0">
  <queryTableRefresh nextId="6">
    <queryTableFields count="5">
      <queryTableField id="1" name="store_code"/>
      <queryTableField id="2" name="virtualdrawer_code"/>
      <queryTableField id="3" name="transaction_date_time"/>
      <queryTableField id="4" name="tendertype_mnemonic"/>
      <queryTableField id="5" name="net_tran_total"/>
    </queryTableFields>
  </queryTableRefresh>
</queryTable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Sales in midnight drawers_6" backgroundRefresh="0" growShrinkType="overwriteClear" fillFormulas="1" adjustColumnWidth="0" connectionId="10" xr16:uid="{2CFAEDE8-BEE7-4BC2-9AD0-E81BF02B271E}" autoFormatId="16" applyNumberFormats="0" applyBorderFormats="0" applyFontFormats="1" applyPatternFormats="1" applyAlignmentFormats="0" applyWidthHeightFormats="0">
  <queryTableRefresh nextId="6">
    <queryTableFields count="5">
      <queryTableField id="1" name="store_code"/>
      <queryTableField id="2" name="midnightdrawer_code"/>
      <queryTableField id="3" name="transaction_date_time"/>
      <queryTableField id="4" name="tendertype"/>
      <queryTableField id="5" name="tran_total"/>
    </queryTableFields>
  </queryTableRefresh>
</queryTable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Sales in midnight drawers_2" backgroundRefresh="0" growShrinkType="overwriteClear" fillFormulas="1" adjustColumnWidth="0" connectionId="22" xr16:uid="{6884B7A5-0976-4661-946D-FE824D722649}" autoFormatId="16" applyNumberFormats="0" applyBorderFormats="0" applyFontFormats="1" applyPatternFormats="1" applyAlignmentFormats="0" applyWidthHeightFormats="0">
  <queryTableRefresh nextId="6">
    <queryTableFields count="5">
      <queryTableField id="1" name="store_code"/>
      <queryTableField id="2" name="midnightdrawer_code"/>
      <queryTableField id="3" name="transaction_date_time"/>
      <queryTableField id="4" name="tendertype"/>
      <queryTableField id="5" name="tran_total"/>
    </queryTableFields>
  </queryTableRefresh>
</queryTable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Sales in midnight drawers_4" backgroundRefresh="0" growShrinkType="overwriteClear" fillFormulas="1" adjustColumnWidth="0" connectionId="25" xr16:uid="{C10F878C-0A10-4CB9-8E22-850C5C7D8B66}" autoFormatId="16" applyNumberFormats="0" applyBorderFormats="0" applyFontFormats="1" applyPatternFormats="1" applyAlignmentFormats="0" applyWidthHeightFormats="0">
  <queryTableRefresh nextId="6">
    <queryTableFields count="5">
      <queryTableField id="1" name="store_code"/>
      <queryTableField id="2" name="midnightdrawer_code"/>
      <queryTableField id="3" name="transaction_date_time"/>
      <queryTableField id="4" name="tendertype"/>
      <queryTableField id="5" name="tran_total"/>
    </queryTableFields>
  </queryTableRefresh>
</queryTable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Sales in midnight drawers_5" backgroundRefresh="0" growShrinkType="overwriteClear" fillFormulas="1" adjustColumnWidth="0" connectionId="6" xr16:uid="{58C30F1C-F6DB-4EAB-B5AE-4EB02C8BA3FC}" autoFormatId="16" applyNumberFormats="0" applyBorderFormats="0" applyFontFormats="1" applyPatternFormats="1" applyAlignmentFormats="0" applyWidthHeightFormats="0">
  <queryTableRefresh nextId="6">
    <queryTableFields count="5">
      <queryTableField id="1" name="store_code"/>
      <queryTableField id="2" name="midnightdrawer_code"/>
      <queryTableField id="3" name="transaction_date_time"/>
      <queryTableField id="4" name="tendertype"/>
      <queryTableField id="5" name="tran_total"/>
    </queryTableFields>
  </queryTableRefresh>
</queryTable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how Midnight Drawer_1" backgroundRefresh="0" growShrinkType="overwriteClear" fillFormulas="1" adjustColumnWidth="0" connectionId="7" xr16:uid="{88558C4E-4C14-42EE-802F-7FBA3B1D9B17}" autoFormatId="16" applyNumberFormats="0" applyBorderFormats="0" applyFontFormats="1" applyPatternFormats="1" applyAlignmentFormats="0" applyWidthHeightFormats="0">
  <queryTableRefresh nextId="12">
    <queryTableFields count="11">
      <queryTableField id="1" name="Issued Date"/>
      <queryTableField id="2" name="Rec Date"/>
      <queryTableField id="3" name="Store"/>
      <queryTableField id="4" name="GL Trans Date"/>
      <queryTableField id="5" name="Co"/>
      <queryTableField id="6" name="GL Desc"/>
      <queryTableField id="7" name="Account"/>
      <queryTableField id="8" name="$"/>
      <queryTableField id="9" name="Desc"/>
      <queryTableField id="10" name="GL Translation"/>
      <queryTableField id="11" name="Drawer"/>
    </queryTableFields>
  </queryTableRefresh>
</queryTable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how Midnight Drawer_5" backgroundRefresh="0" growShrinkType="overwriteClear" fillFormulas="1" adjustColumnWidth="0" connectionId="16" xr16:uid="{3D761F7E-F5D1-4297-9A93-C11063DDDC47}" autoFormatId="16" applyNumberFormats="0" applyBorderFormats="0" applyFontFormats="1" applyPatternFormats="1" applyAlignmentFormats="0" applyWidthHeightFormats="0">
  <queryTableRefresh nextId="12">
    <queryTableFields count="11">
      <queryTableField id="1" name="Issued Date"/>
      <queryTableField id="2" name="Rec Date"/>
      <queryTableField id="3" name="Store"/>
      <queryTableField id="4" name="GL Trans Date"/>
      <queryTableField id="5" name="Co"/>
      <queryTableField id="6" name="GL Desc"/>
      <queryTableField id="7" name="Account"/>
      <queryTableField id="8" name="$"/>
      <queryTableField id="9" name="Desc"/>
      <queryTableField id="10" name="GL Translation"/>
      <queryTableField id="11" name="Drawer"/>
    </queryTableFields>
  </queryTableRefresh>
</queryTable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how Midnight Drawer_4" backgroundRefresh="0" growShrinkType="overwriteClear" fillFormulas="1" adjustColumnWidth="0" connectionId="15" xr16:uid="{BF290FD7-86A4-4E57-B5B9-951DB9CB95A2}" autoFormatId="16" applyNumberFormats="0" applyBorderFormats="0" applyFontFormats="1" applyPatternFormats="1" applyAlignmentFormats="0" applyWidthHeightFormats="0">
  <queryTableRefresh nextId="12">
    <queryTableFields count="11">
      <queryTableField id="1" name="Issued Date"/>
      <queryTableField id="2" name="Rec Date"/>
      <queryTableField id="3" name="Store"/>
      <queryTableField id="4" name="GL Trans Date"/>
      <queryTableField id="5" name="Co"/>
      <queryTableField id="6" name="GL Desc"/>
      <queryTableField id="7" name="Account"/>
      <queryTableField id="8" name="$"/>
      <queryTableField id="9" name="Desc"/>
      <queryTableField id="10" name="GL Translation"/>
      <queryTableField id="11" name="Drawer"/>
    </queryTableFields>
  </queryTableRefresh>
</queryTable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how Midnight Drawer" backgroundRefresh="0" growShrinkType="overwriteClear" fillFormulas="1" adjustColumnWidth="0" connectionId="3" xr16:uid="{F2794864-11F6-402A-9C11-D4721D3D0F26}" autoFormatId="16" applyNumberFormats="0" applyBorderFormats="0" applyFontFormats="1" applyPatternFormats="1" applyAlignmentFormats="0" applyWidthHeightFormats="0">
  <queryTableRefresh nextId="12">
    <queryTableFields count="11">
      <queryTableField id="1" name="Issued Date"/>
      <queryTableField id="2" name="Rec Date"/>
      <queryTableField id="3" name="Store"/>
      <queryTableField id="4" name="GL Trans Date"/>
      <queryTableField id="5" name="Co"/>
      <queryTableField id="6" name="GL Desc"/>
      <queryTableField id="7" name="Account"/>
      <queryTableField id="8" name="$"/>
      <queryTableField id="9" name="Desc"/>
      <queryTableField id="10" name="GL Translation"/>
      <queryTableField id="11" name="Drawer"/>
    </queryTableFields>
  </queryTableRefresh>
</queryTable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how Midnight Drawer_2" backgroundRefresh="0" growShrinkType="overwriteClear" fillFormulas="1" adjustColumnWidth="0" connectionId="8" xr16:uid="{C69187B6-6516-4AFA-97B6-2CEB6F170B96}" autoFormatId="16" applyNumberFormats="0" applyBorderFormats="0" applyFontFormats="1" applyPatternFormats="1" applyAlignmentFormats="0" applyWidthHeightFormats="0">
  <queryTableRefresh nextId="12">
    <queryTableFields count="11">
      <queryTableField id="1" name="Issued Date"/>
      <queryTableField id="2" name="Rec Date"/>
      <queryTableField id="3" name="Store"/>
      <queryTableField id="4" name="GL Trans Date"/>
      <queryTableField id="5" name="Co"/>
      <queryTableField id="6" name="GL Desc"/>
      <queryTableField id="7" name="Account"/>
      <queryTableField id="8" name="$"/>
      <queryTableField id="9" name="Desc"/>
      <queryTableField id="10" name="GL Translation"/>
      <queryTableField id="11" name="Drawer"/>
    </queryTableFields>
  </queryTableRefresh>
</queryTable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how Midnight Drawer_3" backgroundRefresh="0" growShrinkType="overwriteClear" fillFormulas="1" adjustColumnWidth="0" connectionId="11" xr16:uid="{4CE65AA3-96D6-4613-90D1-54C5452CB91E}" autoFormatId="16" applyNumberFormats="0" applyBorderFormats="0" applyFontFormats="1" applyPatternFormats="1" applyAlignmentFormats="0" applyWidthHeightFormats="0">
  <queryTableRefresh nextId="12">
    <queryTableFields count="11">
      <queryTableField id="1" name="Issued Date"/>
      <queryTableField id="2" name="Rec Date"/>
      <queryTableField id="3" name="Store"/>
      <queryTableField id="4" name="GL Trans Date"/>
      <queryTableField id="5" name="Co"/>
      <queryTableField id="6" name="GL Desc"/>
      <queryTableField id="7" name="Account"/>
      <queryTableField id="8" name="$"/>
      <queryTableField id="9" name="Desc"/>
      <queryTableField id="10" name="GL Translation"/>
      <queryTableField id="11" name="Drawer"/>
    </queryTableFields>
  </queryTableRefresh>
</queryTable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A3BEDC6-EFD3-4653-9C3E-0560113DB6F7}" name="Table2" displayName="Table2" ref="H12:L20" totalsRowShown="0" dataDxfId="5">
  <autoFilter ref="H12:L20" xr:uid="{45AB537D-C57B-425F-86E0-B4F54AE963F2}"/>
  <tableColumns count="5">
    <tableColumn id="1" xr3:uid="{119BC9F2-C181-489B-AC9F-9B38A9D402E5}" name="Region" dataDxfId="4"/>
    <tableColumn id="2" xr3:uid="{EC334DFC-FA44-4583-B288-16AAA2D798A7}" name="TimeName" dataDxfId="3"/>
    <tableColumn id="3" xr3:uid="{E0CE69B6-F930-4DB6-830F-98152B0EB608}" name="Cut Off Time _x000a_On Standard Time" dataDxfId="2"/>
    <tableColumn id="4" xr3:uid="{77C7D69D-EDF7-4B16-BC82-B917E3B07174}" name="Cut Off Time On _x000a_Day Light Saving Time" dataDxfId="1"/>
    <tableColumn id="5" xr3:uid="{670452F7-4528-4669-8A75-630DF1DB2043}" name="Currently Using:" dataDxfId="0">
      <calculatedColumnFormula>J13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2.xml"/><Relationship Id="rId13" Type="http://schemas.openxmlformats.org/officeDocument/2006/relationships/queryTable" Target="../queryTables/queryTable7.xml"/><Relationship Id="rId3" Type="http://schemas.openxmlformats.org/officeDocument/2006/relationships/drawing" Target="../drawings/drawing1.xml"/><Relationship Id="rId7" Type="http://schemas.openxmlformats.org/officeDocument/2006/relationships/queryTable" Target="../queryTables/queryTable1.xml"/><Relationship Id="rId12" Type="http://schemas.openxmlformats.org/officeDocument/2006/relationships/queryTable" Target="../queryTables/queryTable6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www.australia.gov.au/about-australia/facts-and-figures/time-zones-and-daylight-saving" TargetMode="External"/><Relationship Id="rId6" Type="http://schemas.openxmlformats.org/officeDocument/2006/relationships/table" Target="../tables/table1.xml"/><Relationship Id="rId11" Type="http://schemas.openxmlformats.org/officeDocument/2006/relationships/queryTable" Target="../queryTables/queryTable5.xml"/><Relationship Id="rId5" Type="http://schemas.openxmlformats.org/officeDocument/2006/relationships/ctrlProp" Target="../ctrlProps/ctrlProp1.xml"/><Relationship Id="rId10" Type="http://schemas.openxmlformats.org/officeDocument/2006/relationships/queryTable" Target="../queryTables/queryTable4.xml"/><Relationship Id="rId4" Type="http://schemas.openxmlformats.org/officeDocument/2006/relationships/vmlDrawing" Target="../drawings/vmlDrawing1.vml"/><Relationship Id="rId9" Type="http://schemas.openxmlformats.org/officeDocument/2006/relationships/queryTable" Target="../queryTables/queryTable3.xml"/><Relationship Id="rId14" Type="http://schemas.openxmlformats.org/officeDocument/2006/relationships/queryTable" Target="../queryTables/queryTable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10.xml"/><Relationship Id="rId13" Type="http://schemas.openxmlformats.org/officeDocument/2006/relationships/queryTable" Target="../queryTables/queryTable15.xml"/><Relationship Id="rId18" Type="http://schemas.openxmlformats.org/officeDocument/2006/relationships/comments" Target="../comments1.xml"/><Relationship Id="rId3" Type="http://schemas.openxmlformats.org/officeDocument/2006/relationships/vmlDrawing" Target="../drawings/vmlDrawing2.vml"/><Relationship Id="rId7" Type="http://schemas.openxmlformats.org/officeDocument/2006/relationships/queryTable" Target="../queryTables/queryTable9.xml"/><Relationship Id="rId12" Type="http://schemas.openxmlformats.org/officeDocument/2006/relationships/queryTable" Target="../queryTables/queryTable14.xml"/><Relationship Id="rId17" Type="http://schemas.openxmlformats.org/officeDocument/2006/relationships/queryTable" Target="../queryTables/queryTable19.xml"/><Relationship Id="rId2" Type="http://schemas.openxmlformats.org/officeDocument/2006/relationships/drawing" Target="../drawings/drawing2.xml"/><Relationship Id="rId16" Type="http://schemas.openxmlformats.org/officeDocument/2006/relationships/queryTable" Target="../queryTables/queryTable18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4.xml"/><Relationship Id="rId11" Type="http://schemas.openxmlformats.org/officeDocument/2006/relationships/queryTable" Target="../queryTables/queryTable13.xml"/><Relationship Id="rId5" Type="http://schemas.openxmlformats.org/officeDocument/2006/relationships/ctrlProp" Target="../ctrlProps/ctrlProp3.xml"/><Relationship Id="rId15" Type="http://schemas.openxmlformats.org/officeDocument/2006/relationships/queryTable" Target="../queryTables/queryTable17.xml"/><Relationship Id="rId10" Type="http://schemas.openxmlformats.org/officeDocument/2006/relationships/queryTable" Target="../queryTables/queryTable12.xml"/><Relationship Id="rId4" Type="http://schemas.openxmlformats.org/officeDocument/2006/relationships/ctrlProp" Target="../ctrlProps/ctrlProp2.xml"/><Relationship Id="rId9" Type="http://schemas.openxmlformats.org/officeDocument/2006/relationships/queryTable" Target="../queryTables/queryTable11.xml"/><Relationship Id="rId14" Type="http://schemas.openxmlformats.org/officeDocument/2006/relationships/queryTable" Target="../queryTables/queryTable1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2.xml"/><Relationship Id="rId2" Type="http://schemas.openxmlformats.org/officeDocument/2006/relationships/queryTable" Target="../queryTables/queryTable21.xml"/><Relationship Id="rId1" Type="http://schemas.openxmlformats.org/officeDocument/2006/relationships/queryTable" Target="../queryTables/queryTable20.xml"/><Relationship Id="rId6" Type="http://schemas.openxmlformats.org/officeDocument/2006/relationships/queryTable" Target="../queryTables/queryTable25.xml"/><Relationship Id="rId5" Type="http://schemas.openxmlformats.org/officeDocument/2006/relationships/queryTable" Target="../queryTables/queryTable24.xml"/><Relationship Id="rId4" Type="http://schemas.openxmlformats.org/officeDocument/2006/relationships/queryTable" Target="../queryTables/queryTable2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3">
    <tabColor theme="7" tint="0.39997558519241921"/>
  </sheetPr>
  <dimension ref="A1:Q85"/>
  <sheetViews>
    <sheetView topLeftCell="A58" workbookViewId="0">
      <selection activeCell="C85" sqref="C85:O85"/>
    </sheetView>
  </sheetViews>
  <sheetFormatPr defaultRowHeight="12.5" x14ac:dyDescent="0.25"/>
  <cols>
    <col min="1" max="1" width="23.6328125" bestFit="1" customWidth="1"/>
    <col min="10" max="10" width="10.08984375" customWidth="1"/>
    <col min="11" max="11" width="12.6328125" customWidth="1"/>
    <col min="12" max="12" width="10.08984375" bestFit="1" customWidth="1"/>
    <col min="13" max="13" width="18.08984375" customWidth="1"/>
    <col min="14" max="15" width="11.6328125" bestFit="1" customWidth="1"/>
  </cols>
  <sheetData>
    <row r="1" spans="1:17" ht="15.5" x14ac:dyDescent="0.35">
      <c r="A1" s="81" t="s">
        <v>113</v>
      </c>
      <c r="B1" s="81"/>
      <c r="C1" s="81"/>
      <c r="D1" s="81"/>
      <c r="E1" s="81"/>
      <c r="F1" s="81"/>
      <c r="G1" s="81"/>
      <c r="H1" s="81"/>
      <c r="I1" s="81"/>
      <c r="J1" s="81"/>
      <c r="K1" s="81"/>
      <c r="L1" s="81"/>
      <c r="M1" s="81"/>
      <c r="N1" s="81"/>
      <c r="O1" s="81"/>
    </row>
    <row r="2" spans="1:17" ht="14.5" x14ac:dyDescent="0.35">
      <c r="A2" s="72"/>
      <c r="B2" s="73"/>
      <c r="C2" s="73"/>
      <c r="D2" s="73"/>
      <c r="E2" s="73"/>
      <c r="F2" s="73"/>
      <c r="G2" s="73"/>
      <c r="H2" s="73"/>
      <c r="I2" s="73"/>
      <c r="J2" s="73"/>
      <c r="K2" s="73"/>
      <c r="L2" s="73"/>
      <c r="M2" s="73"/>
      <c r="N2" s="73"/>
      <c r="O2" s="73"/>
      <c r="Q2" s="1"/>
    </row>
    <row r="3" spans="1:17" ht="14.5" x14ac:dyDescent="0.35">
      <c r="A3" s="72"/>
      <c r="B3" s="73"/>
      <c r="C3" s="73"/>
      <c r="D3" s="73"/>
      <c r="E3" s="73"/>
      <c r="F3" s="73"/>
      <c r="G3" s="73"/>
      <c r="H3" s="73"/>
      <c r="I3" s="73"/>
      <c r="J3" s="73"/>
      <c r="K3" s="73"/>
      <c r="L3" s="73"/>
      <c r="M3" s="73"/>
      <c r="N3" s="73"/>
      <c r="O3" s="73"/>
      <c r="Q3" s="1"/>
    </row>
    <row r="4" spans="1:17" ht="15.5" x14ac:dyDescent="0.35">
      <c r="A4" s="99" t="s">
        <v>0</v>
      </c>
      <c r="B4" s="99" t="s">
        <v>73</v>
      </c>
      <c r="C4" s="99" t="s">
        <v>74</v>
      </c>
      <c r="D4" s="99" t="s">
        <v>75</v>
      </c>
      <c r="E4" s="99" t="s">
        <v>76</v>
      </c>
      <c r="F4" s="99" t="s">
        <v>77</v>
      </c>
      <c r="G4" s="99" t="s">
        <v>78</v>
      </c>
      <c r="H4" s="99" t="s">
        <v>79</v>
      </c>
      <c r="I4" s="99" t="s">
        <v>80</v>
      </c>
      <c r="J4" s="99" t="s">
        <v>81</v>
      </c>
      <c r="K4" s="99" t="s">
        <v>82</v>
      </c>
      <c r="L4" s="99" t="s">
        <v>83</v>
      </c>
      <c r="M4" s="99" t="s">
        <v>84</v>
      </c>
      <c r="N4" s="99" t="s">
        <v>108</v>
      </c>
      <c r="O4" s="99" t="s">
        <v>109</v>
      </c>
      <c r="Q4" s="1"/>
    </row>
    <row r="5" spans="1:17" ht="14.5" x14ac:dyDescent="0.35">
      <c r="A5" s="96" t="s">
        <v>140</v>
      </c>
      <c r="B5" s="97">
        <v>0</v>
      </c>
      <c r="C5" s="97">
        <v>0</v>
      </c>
      <c r="D5" s="97">
        <v>0</v>
      </c>
      <c r="E5" s="97">
        <v>0</v>
      </c>
      <c r="F5" s="97">
        <v>0</v>
      </c>
      <c r="G5" s="97">
        <v>0</v>
      </c>
      <c r="H5" s="97">
        <v>0</v>
      </c>
      <c r="I5" s="97">
        <v>0</v>
      </c>
      <c r="J5" s="97">
        <v>0</v>
      </c>
      <c r="K5" s="97">
        <v>0</v>
      </c>
      <c r="L5" s="97">
        <v>0</v>
      </c>
      <c r="M5" s="97">
        <v>0</v>
      </c>
      <c r="N5" s="97">
        <v>0</v>
      </c>
      <c r="O5" s="97">
        <v>0</v>
      </c>
      <c r="Q5" s="1"/>
    </row>
    <row r="6" spans="1:17" ht="14.5" x14ac:dyDescent="0.35">
      <c r="A6" s="96" t="s">
        <v>114</v>
      </c>
      <c r="B6" s="97">
        <v>0</v>
      </c>
      <c r="C6" s="97">
        <v>0</v>
      </c>
      <c r="D6" s="97">
        <v>0</v>
      </c>
      <c r="E6" s="97">
        <v>0</v>
      </c>
      <c r="F6" s="97">
        <v>0</v>
      </c>
      <c r="G6" s="97">
        <v>0</v>
      </c>
      <c r="H6" s="97">
        <v>0</v>
      </c>
      <c r="I6" s="97">
        <v>0</v>
      </c>
      <c r="J6" s="97">
        <v>0</v>
      </c>
      <c r="K6" s="97">
        <v>0</v>
      </c>
      <c r="L6" s="97">
        <v>0</v>
      </c>
      <c r="M6" s="97">
        <v>0</v>
      </c>
      <c r="N6" s="97">
        <v>0</v>
      </c>
      <c r="O6" s="97">
        <v>0</v>
      </c>
      <c r="Q6" s="1"/>
    </row>
    <row r="7" spans="1:17" ht="14.5" x14ac:dyDescent="0.35">
      <c r="A7" s="96" t="s">
        <v>115</v>
      </c>
      <c r="B7" s="97">
        <v>0</v>
      </c>
      <c r="C7" s="97">
        <v>0</v>
      </c>
      <c r="D7" s="97">
        <v>0</v>
      </c>
      <c r="E7" s="97">
        <v>0</v>
      </c>
      <c r="F7" s="97">
        <v>0</v>
      </c>
      <c r="G7" s="97">
        <v>0</v>
      </c>
      <c r="H7" s="97">
        <v>0</v>
      </c>
      <c r="I7" s="97">
        <v>0</v>
      </c>
      <c r="J7" s="97">
        <v>0</v>
      </c>
      <c r="K7" s="97">
        <v>0</v>
      </c>
      <c r="L7" s="97">
        <v>0</v>
      </c>
      <c r="M7" s="97">
        <v>0</v>
      </c>
      <c r="N7" s="97">
        <v>0</v>
      </c>
      <c r="O7" s="97">
        <v>0</v>
      </c>
      <c r="Q7" s="1"/>
    </row>
    <row r="8" spans="1:17" ht="14.5" x14ac:dyDescent="0.35">
      <c r="A8" s="96" t="s">
        <v>141</v>
      </c>
      <c r="B8" s="97">
        <v>0</v>
      </c>
      <c r="C8" s="97">
        <v>0</v>
      </c>
      <c r="D8" s="97">
        <v>0</v>
      </c>
      <c r="E8" s="97">
        <v>0</v>
      </c>
      <c r="F8" s="97">
        <v>0</v>
      </c>
      <c r="G8" s="97">
        <v>0</v>
      </c>
      <c r="H8" s="97">
        <v>0</v>
      </c>
      <c r="I8" s="97">
        <v>0</v>
      </c>
      <c r="J8" s="97">
        <v>0</v>
      </c>
      <c r="K8" s="97">
        <v>0</v>
      </c>
      <c r="L8" s="97">
        <v>0</v>
      </c>
      <c r="M8" s="97">
        <v>0</v>
      </c>
      <c r="N8" s="97">
        <v>0</v>
      </c>
      <c r="O8" s="97">
        <v>0</v>
      </c>
      <c r="Q8" s="1"/>
    </row>
    <row r="9" spans="1:17" ht="14.5" x14ac:dyDescent="0.35">
      <c r="A9" s="96" t="s">
        <v>25</v>
      </c>
      <c r="B9" s="97">
        <v>0</v>
      </c>
      <c r="C9" s="97">
        <v>0</v>
      </c>
      <c r="D9" s="97">
        <v>0</v>
      </c>
      <c r="E9" s="97">
        <v>0</v>
      </c>
      <c r="F9" s="97">
        <v>0</v>
      </c>
      <c r="G9" s="97">
        <v>0</v>
      </c>
      <c r="H9" s="97">
        <v>0</v>
      </c>
      <c r="I9" s="97">
        <v>0</v>
      </c>
      <c r="J9" s="97">
        <v>0</v>
      </c>
      <c r="K9" s="97">
        <v>0</v>
      </c>
      <c r="L9" s="97">
        <v>0</v>
      </c>
      <c r="M9" s="97">
        <v>0</v>
      </c>
      <c r="N9" s="97">
        <v>0</v>
      </c>
      <c r="O9" s="97">
        <v>0</v>
      </c>
      <c r="Q9" s="1"/>
    </row>
    <row r="10" spans="1:17" ht="14.5" x14ac:dyDescent="0.35">
      <c r="A10" s="96" t="s">
        <v>26</v>
      </c>
      <c r="B10" s="97">
        <v>0</v>
      </c>
      <c r="C10" s="97">
        <v>0</v>
      </c>
      <c r="D10" s="97">
        <v>0</v>
      </c>
      <c r="E10" s="97">
        <v>0</v>
      </c>
      <c r="F10" s="97">
        <v>0</v>
      </c>
      <c r="G10" s="97">
        <v>0</v>
      </c>
      <c r="H10" s="97">
        <v>0</v>
      </c>
      <c r="I10" s="97">
        <v>0</v>
      </c>
      <c r="J10" s="97">
        <v>0</v>
      </c>
      <c r="K10" s="97">
        <v>0</v>
      </c>
      <c r="L10" s="97">
        <v>0</v>
      </c>
      <c r="M10" s="97">
        <v>0</v>
      </c>
      <c r="N10" s="97">
        <v>0</v>
      </c>
      <c r="O10" s="97">
        <v>0</v>
      </c>
      <c r="Q10" s="1" t="str">
        <f>VLOOKUP(A10,Summary!B:B,1,FALSE)</f>
        <v>2009 - AW T2 Syd Dom</v>
      </c>
    </row>
    <row r="11" spans="1:17" ht="14.5" x14ac:dyDescent="0.35">
      <c r="A11" s="96" t="s">
        <v>27</v>
      </c>
      <c r="B11" s="97">
        <v>0</v>
      </c>
      <c r="C11" s="97">
        <v>0</v>
      </c>
      <c r="D11" s="97">
        <v>0</v>
      </c>
      <c r="E11" s="97">
        <v>0</v>
      </c>
      <c r="F11" s="97">
        <v>0</v>
      </c>
      <c r="G11" s="97">
        <v>0</v>
      </c>
      <c r="H11" s="97">
        <v>0</v>
      </c>
      <c r="I11" s="97">
        <v>0</v>
      </c>
      <c r="J11" s="97">
        <v>0</v>
      </c>
      <c r="K11" s="97">
        <v>0</v>
      </c>
      <c r="L11" s="97">
        <v>0</v>
      </c>
      <c r="M11" s="97">
        <v>0</v>
      </c>
      <c r="N11" s="97">
        <v>0</v>
      </c>
      <c r="O11" s="97">
        <v>0</v>
      </c>
      <c r="Q11" s="1" t="str">
        <f>VLOOKUP(A11,Summary!B:B,1,FALSE)</f>
        <v>2012 - AW Sydney Domes</v>
      </c>
    </row>
    <row r="12" spans="1:17" ht="14.5" x14ac:dyDescent="0.35">
      <c r="A12" s="96" t="s">
        <v>28</v>
      </c>
      <c r="B12" s="97">
        <v>0</v>
      </c>
      <c r="C12" s="97">
        <v>0</v>
      </c>
      <c r="D12" s="97">
        <v>-171.9</v>
      </c>
      <c r="E12" s="97">
        <v>0</v>
      </c>
      <c r="F12" s="97">
        <v>0</v>
      </c>
      <c r="G12" s="97">
        <v>0</v>
      </c>
      <c r="H12" s="97">
        <v>0</v>
      </c>
      <c r="I12" s="97">
        <v>0</v>
      </c>
      <c r="J12" s="97">
        <v>0</v>
      </c>
      <c r="K12" s="97">
        <v>0</v>
      </c>
      <c r="L12" s="97">
        <v>0</v>
      </c>
      <c r="M12" s="97">
        <v>0</v>
      </c>
      <c r="N12" s="97">
        <v>0</v>
      </c>
      <c r="O12" s="97">
        <v>171.9</v>
      </c>
      <c r="Q12" s="1" t="str">
        <f>VLOOKUP(A12,Summary!B:B,1,FALSE)</f>
        <v>2013 - Carri On Sydney</v>
      </c>
    </row>
    <row r="13" spans="1:17" ht="14.5" x14ac:dyDescent="0.35">
      <c r="A13" s="96" t="s">
        <v>103</v>
      </c>
      <c r="B13" s="97">
        <v>0</v>
      </c>
      <c r="C13" s="97">
        <v>0</v>
      </c>
      <c r="D13" s="97">
        <v>0</v>
      </c>
      <c r="E13" s="97">
        <v>0</v>
      </c>
      <c r="F13" s="97">
        <v>0</v>
      </c>
      <c r="G13" s="97">
        <v>0</v>
      </c>
      <c r="H13" s="97">
        <v>0</v>
      </c>
      <c r="I13" s="97">
        <v>0</v>
      </c>
      <c r="J13" s="97">
        <v>0</v>
      </c>
      <c r="K13" s="97">
        <v>0</v>
      </c>
      <c r="L13" s="97">
        <v>0</v>
      </c>
      <c r="M13" s="97">
        <v>0</v>
      </c>
      <c r="N13" s="97">
        <v>0</v>
      </c>
      <c r="O13" s="97">
        <v>0</v>
      </c>
      <c r="Q13" s="1" t="str">
        <f>VLOOKUP(A13,Summary!B:B,1,FALSE)</f>
        <v>2105 - Carry On T2Temp</v>
      </c>
    </row>
    <row r="14" spans="1:17" ht="14.5" x14ac:dyDescent="0.35">
      <c r="A14" s="96" t="s">
        <v>116</v>
      </c>
      <c r="B14" s="97">
        <v>0</v>
      </c>
      <c r="C14" s="97">
        <v>0</v>
      </c>
      <c r="D14" s="97">
        <v>0</v>
      </c>
      <c r="E14" s="97">
        <v>0</v>
      </c>
      <c r="F14" s="97">
        <v>0</v>
      </c>
      <c r="G14" s="97">
        <v>0</v>
      </c>
      <c r="H14" s="97">
        <v>0</v>
      </c>
      <c r="I14" s="97">
        <v>0</v>
      </c>
      <c r="J14" s="97">
        <v>0</v>
      </c>
      <c r="K14" s="97">
        <v>0</v>
      </c>
      <c r="L14" s="97">
        <v>0</v>
      </c>
      <c r="M14" s="97">
        <v>0</v>
      </c>
      <c r="N14" s="97">
        <v>0</v>
      </c>
      <c r="O14" s="97">
        <v>0</v>
      </c>
      <c r="Q14" s="1" t="str">
        <f>VLOOKUP(A14,Summary!B:B,1,FALSE)</f>
        <v>2106 - Textilis Syd T2</v>
      </c>
    </row>
    <row r="15" spans="1:17" ht="14.5" x14ac:dyDescent="0.35">
      <c r="A15" s="96" t="s">
        <v>124</v>
      </c>
      <c r="B15" s="97">
        <v>0</v>
      </c>
      <c r="C15" s="97">
        <v>0</v>
      </c>
      <c r="D15" s="97">
        <v>0</v>
      </c>
      <c r="E15" s="97">
        <v>0</v>
      </c>
      <c r="F15" s="97">
        <v>191.36</v>
      </c>
      <c r="G15" s="97">
        <v>0</v>
      </c>
      <c r="H15" s="97">
        <v>0</v>
      </c>
      <c r="I15" s="97">
        <v>0</v>
      </c>
      <c r="J15" s="97">
        <v>0</v>
      </c>
      <c r="K15" s="97">
        <v>169.91</v>
      </c>
      <c r="L15" s="97">
        <v>-101.4</v>
      </c>
      <c r="M15" s="97">
        <v>0</v>
      </c>
      <c r="N15" s="97">
        <v>0</v>
      </c>
      <c r="O15" s="97">
        <v>-259.87</v>
      </c>
      <c r="Q15" s="1" t="str">
        <f>VLOOKUP(A15,Summary!B:B,1,FALSE)</f>
        <v>2117 - Carry On T2 Syd</v>
      </c>
    </row>
    <row r="16" spans="1:17" ht="14.5" x14ac:dyDescent="0.35">
      <c r="A16" s="96" t="s">
        <v>125</v>
      </c>
      <c r="B16" s="97">
        <v>0</v>
      </c>
      <c r="C16" s="97">
        <v>0</v>
      </c>
      <c r="D16" s="97">
        <v>0</v>
      </c>
      <c r="E16" s="97">
        <v>25.2</v>
      </c>
      <c r="F16" s="97">
        <v>-55</v>
      </c>
      <c r="G16" s="97">
        <v>14.98</v>
      </c>
      <c r="H16" s="97">
        <v>30.4</v>
      </c>
      <c r="I16" s="97">
        <v>-680.95</v>
      </c>
      <c r="J16" s="97">
        <v>-22.95</v>
      </c>
      <c r="K16" s="97">
        <v>-103.86</v>
      </c>
      <c r="L16" s="97">
        <v>382.19</v>
      </c>
      <c r="M16" s="97">
        <v>0</v>
      </c>
      <c r="N16" s="97">
        <v>0</v>
      </c>
      <c r="O16" s="97">
        <v>409.99</v>
      </c>
      <c r="Q16" s="1" t="str">
        <f>VLOOKUP(A16,Summary!B:B,1,FALSE)</f>
        <v>2118 - Merchant T2 Syd</v>
      </c>
    </row>
    <row r="17" spans="1:17" ht="14.5" x14ac:dyDescent="0.35">
      <c r="A17" s="96" t="s">
        <v>126</v>
      </c>
      <c r="B17" s="97">
        <v>0</v>
      </c>
      <c r="C17" s="97">
        <v>0</v>
      </c>
      <c r="D17" s="97">
        <v>7.02</v>
      </c>
      <c r="E17" s="97">
        <v>162.12</v>
      </c>
      <c r="F17" s="97">
        <v>113.89</v>
      </c>
      <c r="G17" s="97">
        <v>-11.99</v>
      </c>
      <c r="H17" s="97">
        <v>213.5</v>
      </c>
      <c r="I17" s="97">
        <v>-152.36000000000001</v>
      </c>
      <c r="J17" s="97">
        <v>93.28</v>
      </c>
      <c r="K17" s="97">
        <v>162.4</v>
      </c>
      <c r="L17" s="97">
        <v>10.130000000000001</v>
      </c>
      <c r="M17" s="97">
        <v>0</v>
      </c>
      <c r="N17" s="97">
        <v>0</v>
      </c>
      <c r="O17" s="97">
        <v>-597.99</v>
      </c>
      <c r="Q17" s="1" t="str">
        <f>VLOOKUP(A17,Summary!B:B,1,FALSE)</f>
        <v>2119 - Merchant T3 Syd</v>
      </c>
    </row>
    <row r="18" spans="1:17" ht="14.5" x14ac:dyDescent="0.35">
      <c r="A18" s="96" t="s">
        <v>29</v>
      </c>
      <c r="B18" s="97">
        <v>0</v>
      </c>
      <c r="C18" s="97">
        <v>0</v>
      </c>
      <c r="D18" s="97">
        <v>0</v>
      </c>
      <c r="E18" s="97">
        <v>0</v>
      </c>
      <c r="F18" s="97">
        <v>0</v>
      </c>
      <c r="G18" s="97">
        <v>0</v>
      </c>
      <c r="H18" s="97">
        <v>0</v>
      </c>
      <c r="I18" s="97">
        <v>0</v>
      </c>
      <c r="J18" s="97">
        <v>0</v>
      </c>
      <c r="K18" s="97">
        <v>0</v>
      </c>
      <c r="L18" s="97">
        <v>-372.1</v>
      </c>
      <c r="M18" s="97">
        <v>0</v>
      </c>
      <c r="N18" s="97">
        <v>0</v>
      </c>
      <c r="O18" s="97">
        <v>372.1</v>
      </c>
      <c r="Q18" s="1" t="str">
        <f>VLOOKUP(A18,Summary!B:B,1,FALSE)</f>
        <v>2120 - IB Syd Landside</v>
      </c>
    </row>
    <row r="19" spans="1:17" ht="14.5" x14ac:dyDescent="0.35">
      <c r="A19" s="96" t="s">
        <v>30</v>
      </c>
      <c r="B19" s="97">
        <v>0</v>
      </c>
      <c r="C19" s="97">
        <v>0</v>
      </c>
      <c r="D19" s="97">
        <v>0</v>
      </c>
      <c r="E19" s="97">
        <v>0</v>
      </c>
      <c r="F19" s="97">
        <v>0</v>
      </c>
      <c r="G19" s="97">
        <v>0</v>
      </c>
      <c r="H19" s="97">
        <v>0</v>
      </c>
      <c r="I19" s="97">
        <v>0</v>
      </c>
      <c r="J19" s="97">
        <v>0</v>
      </c>
      <c r="K19" s="97">
        <v>0</v>
      </c>
      <c r="L19" s="97">
        <v>0</v>
      </c>
      <c r="M19" s="97">
        <v>0</v>
      </c>
      <c r="N19" s="97">
        <v>0</v>
      </c>
      <c r="O19" s="97">
        <v>0</v>
      </c>
      <c r="Q19" s="1" t="str">
        <f>VLOOKUP(A19,Summary!B:B,1,FALSE)</f>
        <v>2128 - AA Lansdise SYD</v>
      </c>
    </row>
    <row r="20" spans="1:17" ht="14.5" x14ac:dyDescent="0.35">
      <c r="A20" s="96" t="s">
        <v>31</v>
      </c>
      <c r="B20" s="97">
        <v>0</v>
      </c>
      <c r="C20" s="97">
        <v>0</v>
      </c>
      <c r="D20" s="97">
        <v>0</v>
      </c>
      <c r="E20" s="97">
        <v>0</v>
      </c>
      <c r="F20" s="97">
        <v>0</v>
      </c>
      <c r="G20" s="97">
        <v>0</v>
      </c>
      <c r="H20" s="97">
        <v>0</v>
      </c>
      <c r="I20" s="97">
        <v>0</v>
      </c>
      <c r="J20" s="97">
        <v>0</v>
      </c>
      <c r="K20" s="97">
        <v>0</v>
      </c>
      <c r="L20" s="97">
        <v>0</v>
      </c>
      <c r="M20" s="97">
        <v>0</v>
      </c>
      <c r="N20" s="97">
        <v>0</v>
      </c>
      <c r="O20" s="97">
        <v>0</v>
      </c>
      <c r="Q20" s="1" t="str">
        <f>VLOOKUP(A20,Summary!B:B,1,FALSE)</f>
        <v>2131 - Produce Landsid</v>
      </c>
    </row>
    <row r="21" spans="1:17" ht="14.5" x14ac:dyDescent="0.35">
      <c r="A21" s="96" t="s">
        <v>32</v>
      </c>
      <c r="B21" s="97">
        <v>0</v>
      </c>
      <c r="C21" s="97">
        <v>21.16</v>
      </c>
      <c r="D21" s="97">
        <v>20.8</v>
      </c>
      <c r="E21" s="97">
        <v>29.42</v>
      </c>
      <c r="F21" s="97">
        <v>366.74</v>
      </c>
      <c r="G21" s="97">
        <v>116.67</v>
      </c>
      <c r="H21" s="97">
        <v>286.06</v>
      </c>
      <c r="I21" s="97">
        <v>64.19</v>
      </c>
      <c r="J21" s="97">
        <v>200.78</v>
      </c>
      <c r="K21" s="97">
        <v>113.05</v>
      </c>
      <c r="L21" s="97">
        <v>10.73</v>
      </c>
      <c r="M21" s="97">
        <v>0</v>
      </c>
      <c r="N21" s="97">
        <v>0</v>
      </c>
      <c r="O21" s="97">
        <v>-1229.5999999999999</v>
      </c>
      <c r="Q21" s="1" t="str">
        <f>VLOOKUP(A21,Summary!B:B,1,FALSE)</f>
        <v>2136 - Think Aust Mad</v>
      </c>
    </row>
    <row r="22" spans="1:17" ht="14.5" x14ac:dyDescent="0.35">
      <c r="A22" s="96" t="s">
        <v>33</v>
      </c>
      <c r="B22" s="97">
        <v>0</v>
      </c>
      <c r="C22" s="97">
        <v>0</v>
      </c>
      <c r="D22" s="97">
        <v>642.24</v>
      </c>
      <c r="E22" s="97">
        <v>679.73</v>
      </c>
      <c r="F22" s="97">
        <v>70.2</v>
      </c>
      <c r="G22" s="97">
        <v>845.71</v>
      </c>
      <c r="H22" s="97">
        <v>802.46</v>
      </c>
      <c r="I22" s="97">
        <v>473.85</v>
      </c>
      <c r="J22" s="97">
        <v>766.04</v>
      </c>
      <c r="K22" s="97">
        <v>-170</v>
      </c>
      <c r="L22" s="97">
        <v>60.28</v>
      </c>
      <c r="M22" s="97">
        <v>0</v>
      </c>
      <c r="N22" s="97">
        <v>0</v>
      </c>
      <c r="O22" s="97">
        <v>-4170.51</v>
      </c>
      <c r="Q22" s="1" t="str">
        <f>VLOOKUP(A22,Summary!B:B,1,FALSE)</f>
        <v>2137 - Think Syd PierC</v>
      </c>
    </row>
    <row r="23" spans="1:17" ht="14.5" x14ac:dyDescent="0.35">
      <c r="A23" s="96" t="s">
        <v>145</v>
      </c>
      <c r="B23" s="97">
        <v>0</v>
      </c>
      <c r="C23" s="97">
        <v>0</v>
      </c>
      <c r="D23" s="97">
        <v>0</v>
      </c>
      <c r="E23" s="97">
        <v>0</v>
      </c>
      <c r="F23" s="97">
        <v>0</v>
      </c>
      <c r="G23" s="97">
        <v>0</v>
      </c>
      <c r="H23" s="97">
        <v>0</v>
      </c>
      <c r="I23" s="97">
        <v>0</v>
      </c>
      <c r="J23" s="97">
        <v>0</v>
      </c>
      <c r="K23" s="97">
        <v>0</v>
      </c>
      <c r="L23" s="97">
        <v>0</v>
      </c>
      <c r="M23" s="97">
        <v>0</v>
      </c>
      <c r="N23" s="97">
        <v>0</v>
      </c>
      <c r="O23" s="97">
        <v>0</v>
      </c>
      <c r="Q23" s="1" t="e">
        <f>VLOOKUP(A23,Summary!B:B,1,FALSE)</f>
        <v>#N/A</v>
      </c>
    </row>
    <row r="24" spans="1:17" ht="14.5" x14ac:dyDescent="0.35">
      <c r="A24" s="96" t="s">
        <v>142</v>
      </c>
      <c r="B24" s="97">
        <v>0</v>
      </c>
      <c r="C24" s="97">
        <v>0</v>
      </c>
      <c r="D24" s="97">
        <v>0</v>
      </c>
      <c r="E24" s="97">
        <v>0</v>
      </c>
      <c r="F24" s="97">
        <v>0</v>
      </c>
      <c r="G24" s="97">
        <v>0</v>
      </c>
      <c r="H24" s="97">
        <v>0</v>
      </c>
      <c r="I24" s="97">
        <v>-2662.96</v>
      </c>
      <c r="J24" s="97">
        <v>36.74</v>
      </c>
      <c r="K24" s="97">
        <v>6.85</v>
      </c>
      <c r="L24" s="97">
        <v>0</v>
      </c>
      <c r="M24" s="97">
        <v>0</v>
      </c>
      <c r="N24" s="97">
        <v>0</v>
      </c>
      <c r="O24" s="97">
        <v>2619.37</v>
      </c>
      <c r="Q24" s="1" t="str">
        <f>VLOOKUP(A24,Summary!B:B,1,FALSE)</f>
        <v>2225 - News@CBR</v>
      </c>
    </row>
    <row r="25" spans="1:17" ht="14.5" x14ac:dyDescent="0.35">
      <c r="A25" s="96" t="s">
        <v>34</v>
      </c>
      <c r="B25" s="97">
        <v>0</v>
      </c>
      <c r="C25" s="97">
        <v>0</v>
      </c>
      <c r="D25" s="97">
        <v>114.87</v>
      </c>
      <c r="E25" s="97">
        <v>382.89</v>
      </c>
      <c r="F25" s="97">
        <v>570.89</v>
      </c>
      <c r="G25" s="97">
        <v>1301.82</v>
      </c>
      <c r="H25" s="97">
        <v>1167.83</v>
      </c>
      <c r="I25" s="97">
        <v>1061.93</v>
      </c>
      <c r="J25" s="97">
        <v>517.71</v>
      </c>
      <c r="K25" s="97">
        <v>-76.09</v>
      </c>
      <c r="L25" s="97">
        <v>-313.26</v>
      </c>
      <c r="M25" s="97">
        <v>0</v>
      </c>
      <c r="N25" s="97">
        <v>0</v>
      </c>
      <c r="O25" s="97">
        <v>-4728.59</v>
      </c>
      <c r="Q25" s="1" t="str">
        <f>VLOOKUP(A25,Summary!B:B,1,FALSE)</f>
        <v>2230 - Australian Way</v>
      </c>
    </row>
    <row r="26" spans="1:17" ht="14.5" x14ac:dyDescent="0.35">
      <c r="A26" s="96" t="s">
        <v>35</v>
      </c>
      <c r="B26" s="97">
        <v>0</v>
      </c>
      <c r="C26" s="97">
        <v>0</v>
      </c>
      <c r="D26" s="97">
        <v>667.59</v>
      </c>
      <c r="E26" s="97">
        <v>1257.99</v>
      </c>
      <c r="F26" s="97">
        <v>1005.26</v>
      </c>
      <c r="G26" s="97">
        <v>1937.66</v>
      </c>
      <c r="H26" s="97">
        <v>1957.74</v>
      </c>
      <c r="I26" s="97">
        <v>1138.08</v>
      </c>
      <c r="J26" s="97">
        <v>1538.15</v>
      </c>
      <c r="K26" s="97">
        <v>929.9</v>
      </c>
      <c r="L26" s="97">
        <v>-550.22</v>
      </c>
      <c r="M26" s="97">
        <v>0</v>
      </c>
      <c r="N26" s="97">
        <v>0</v>
      </c>
      <c r="O26" s="97">
        <v>-9882.15</v>
      </c>
      <c r="Q26" s="1" t="str">
        <f>VLOOKUP(A26,Summary!B:B,1,FALSE)</f>
        <v>2231 - Think Syd B</v>
      </c>
    </row>
    <row r="27" spans="1:17" ht="14.5" x14ac:dyDescent="0.35">
      <c r="A27" s="96" t="s">
        <v>85</v>
      </c>
      <c r="B27" s="97">
        <v>0</v>
      </c>
      <c r="C27" s="97">
        <v>0</v>
      </c>
      <c r="D27" s="97">
        <v>0</v>
      </c>
      <c r="E27" s="97">
        <v>24.74</v>
      </c>
      <c r="F27" s="97">
        <v>14</v>
      </c>
      <c r="G27" s="97">
        <v>0</v>
      </c>
      <c r="H27" s="97">
        <v>65.52</v>
      </c>
      <c r="I27" s="97">
        <v>139.9</v>
      </c>
      <c r="J27" s="97">
        <v>281.7</v>
      </c>
      <c r="K27" s="97">
        <v>-1507.4</v>
      </c>
      <c r="L27" s="97">
        <v>0</v>
      </c>
      <c r="M27" s="97">
        <v>0</v>
      </c>
      <c r="N27" s="97">
        <v>0</v>
      </c>
      <c r="O27" s="97">
        <v>981.54</v>
      </c>
      <c r="Q27" s="1" t="str">
        <f>VLOOKUP(A27,Summary!B:B,1,FALSE)</f>
        <v>2232 - Merino Pier B</v>
      </c>
    </row>
    <row r="28" spans="1:17" ht="14.5" x14ac:dyDescent="0.35">
      <c r="A28" s="96" t="s">
        <v>86</v>
      </c>
      <c r="B28" s="97">
        <v>0</v>
      </c>
      <c r="C28" s="97">
        <v>0</v>
      </c>
      <c r="D28" s="97">
        <v>-70.16</v>
      </c>
      <c r="E28" s="97">
        <v>-145.81</v>
      </c>
      <c r="F28" s="97">
        <v>545.28</v>
      </c>
      <c r="G28" s="97">
        <v>73.8</v>
      </c>
      <c r="H28" s="97">
        <v>214.45</v>
      </c>
      <c r="I28" s="97">
        <v>78.47</v>
      </c>
      <c r="J28" s="97">
        <v>427.47</v>
      </c>
      <c r="K28" s="97">
        <v>-13.22</v>
      </c>
      <c r="L28" s="97">
        <v>-55</v>
      </c>
      <c r="M28" s="97">
        <v>0</v>
      </c>
      <c r="N28" s="97">
        <v>0</v>
      </c>
      <c r="O28" s="97">
        <v>-1055.28</v>
      </c>
      <c r="Q28" s="1" t="str">
        <f>VLOOKUP(A28,Summary!B:B,1,FALSE)</f>
        <v>2233 - Aust Way Syd LS</v>
      </c>
    </row>
    <row r="29" spans="1:17" ht="14.5" x14ac:dyDescent="0.35">
      <c r="A29" s="96" t="s">
        <v>87</v>
      </c>
      <c r="B29" s="97">
        <v>0</v>
      </c>
      <c r="C29" s="97">
        <v>0</v>
      </c>
      <c r="D29" s="97">
        <v>699.67</v>
      </c>
      <c r="E29" s="97">
        <v>682.4</v>
      </c>
      <c r="F29" s="97">
        <v>469.72</v>
      </c>
      <c r="G29" s="97">
        <v>9.9</v>
      </c>
      <c r="H29" s="97">
        <v>274.94</v>
      </c>
      <c r="I29" s="97">
        <v>224.3</v>
      </c>
      <c r="J29" s="97">
        <v>-5.0599999999999996</v>
      </c>
      <c r="K29" s="97">
        <v>247.56</v>
      </c>
      <c r="L29" s="97">
        <v>-14.98</v>
      </c>
      <c r="M29" s="97">
        <v>0</v>
      </c>
      <c r="N29" s="97">
        <v>0</v>
      </c>
      <c r="O29" s="97">
        <v>-2588.4499999999998</v>
      </c>
      <c r="Q29" s="1" t="str">
        <f>VLOOKUP(A29,Summary!B:B,1,FALSE)</f>
        <v>2234 - Think Syd Lands</v>
      </c>
    </row>
    <row r="30" spans="1:17" ht="14.5" x14ac:dyDescent="0.35">
      <c r="A30" s="96" t="s">
        <v>36</v>
      </c>
      <c r="B30" s="97">
        <v>0</v>
      </c>
      <c r="C30" s="97">
        <v>0</v>
      </c>
      <c r="D30" s="97">
        <v>0</v>
      </c>
      <c r="E30" s="97">
        <v>0</v>
      </c>
      <c r="F30" s="97">
        <v>0</v>
      </c>
      <c r="G30" s="97">
        <v>0</v>
      </c>
      <c r="H30" s="97">
        <v>0</v>
      </c>
      <c r="I30" s="97">
        <v>0</v>
      </c>
      <c r="J30" s="97">
        <v>0</v>
      </c>
      <c r="K30" s="97">
        <v>0</v>
      </c>
      <c r="L30" s="97">
        <v>0</v>
      </c>
      <c r="M30" s="97">
        <v>0</v>
      </c>
      <c r="N30" s="97">
        <v>0</v>
      </c>
      <c r="O30" s="97">
        <v>0</v>
      </c>
      <c r="Q30" s="1" t="str">
        <f>VLOOKUP(A30,Summary!B:B,1,FALSE)</f>
        <v>2450 - NT Newcastle</v>
      </c>
    </row>
    <row r="31" spans="1:17" ht="14.5" x14ac:dyDescent="0.35">
      <c r="A31" s="96" t="s">
        <v>37</v>
      </c>
      <c r="B31" s="97">
        <v>0</v>
      </c>
      <c r="C31" s="97">
        <v>0</v>
      </c>
      <c r="D31" s="97">
        <v>0</v>
      </c>
      <c r="E31" s="97">
        <v>144.80000000000001</v>
      </c>
      <c r="F31" s="97">
        <v>314.25</v>
      </c>
      <c r="G31" s="97">
        <v>50</v>
      </c>
      <c r="H31" s="97">
        <v>340.19</v>
      </c>
      <c r="I31" s="97">
        <v>178.07</v>
      </c>
      <c r="J31" s="97">
        <v>20.45</v>
      </c>
      <c r="K31" s="97">
        <v>5.0599999999999996</v>
      </c>
      <c r="L31" s="97">
        <v>-3886.04</v>
      </c>
      <c r="M31" s="97">
        <v>0</v>
      </c>
      <c r="N31" s="97">
        <v>0</v>
      </c>
      <c r="O31" s="97">
        <v>2833.22</v>
      </c>
      <c r="Q31" s="1" t="str">
        <f>VLOOKUP(A31,Summary!B:B,1,FALSE)</f>
        <v>3019 - AW Melbourne Do</v>
      </c>
    </row>
    <row r="32" spans="1:17" ht="14.5" x14ac:dyDescent="0.35">
      <c r="A32" s="96" t="s">
        <v>38</v>
      </c>
      <c r="B32" s="97">
        <v>0</v>
      </c>
      <c r="C32" s="97">
        <v>0</v>
      </c>
      <c r="D32" s="97">
        <v>0</v>
      </c>
      <c r="E32" s="97">
        <v>0</v>
      </c>
      <c r="F32" s="97">
        <v>0</v>
      </c>
      <c r="G32" s="97">
        <v>0</v>
      </c>
      <c r="H32" s="97">
        <v>0</v>
      </c>
      <c r="I32" s="97">
        <v>0</v>
      </c>
      <c r="J32" s="97">
        <v>0</v>
      </c>
      <c r="K32" s="97">
        <v>0</v>
      </c>
      <c r="L32" s="97">
        <v>0</v>
      </c>
      <c r="M32" s="97">
        <v>0</v>
      </c>
      <c r="N32" s="97">
        <v>0</v>
      </c>
      <c r="O32" s="97">
        <v>0</v>
      </c>
      <c r="Q32" s="1" t="str">
        <f>VLOOKUP(A32,Summary!B:B,1,FALSE)</f>
        <v>3025 - AW Melbourne Li</v>
      </c>
    </row>
    <row r="33" spans="1:17" ht="14.5" x14ac:dyDescent="0.35">
      <c r="A33" s="96" t="s">
        <v>39</v>
      </c>
      <c r="B33" s="97">
        <v>0</v>
      </c>
      <c r="C33" s="97">
        <v>0</v>
      </c>
      <c r="D33" s="97">
        <v>0</v>
      </c>
      <c r="E33" s="97">
        <v>-12.95</v>
      </c>
      <c r="F33" s="97">
        <v>0</v>
      </c>
      <c r="G33" s="97">
        <v>0</v>
      </c>
      <c r="H33" s="97">
        <v>39.9</v>
      </c>
      <c r="I33" s="97">
        <v>70.89</v>
      </c>
      <c r="J33" s="97">
        <v>90.61</v>
      </c>
      <c r="K33" s="97">
        <v>0</v>
      </c>
      <c r="L33" s="97">
        <v>0</v>
      </c>
      <c r="M33" s="97">
        <v>0</v>
      </c>
      <c r="N33" s="97">
        <v>0</v>
      </c>
      <c r="O33" s="97">
        <v>-188.45</v>
      </c>
      <c r="Q33" s="1" t="str">
        <f>VLOOKUP(A33,Summary!B:B,1,FALSE)</f>
        <v>3028 - AW Melbourne &amp;</v>
      </c>
    </row>
    <row r="34" spans="1:17" ht="14.5" x14ac:dyDescent="0.35">
      <c r="A34" s="96" t="s">
        <v>40</v>
      </c>
      <c r="B34" s="97">
        <v>0</v>
      </c>
      <c r="C34" s="97">
        <v>0</v>
      </c>
      <c r="D34" s="97">
        <v>0</v>
      </c>
      <c r="E34" s="97">
        <v>0</v>
      </c>
      <c r="F34" s="97">
        <v>0</v>
      </c>
      <c r="G34" s="97">
        <v>90</v>
      </c>
      <c r="H34" s="97">
        <v>0</v>
      </c>
      <c r="I34" s="97">
        <v>0</v>
      </c>
      <c r="J34" s="97">
        <v>0</v>
      </c>
      <c r="K34" s="97">
        <v>0</v>
      </c>
      <c r="L34" s="97">
        <v>0</v>
      </c>
      <c r="M34" s="97">
        <v>0</v>
      </c>
      <c r="N34" s="97">
        <v>0</v>
      </c>
      <c r="O34" s="97">
        <v>-90</v>
      </c>
      <c r="Q34" s="1" t="str">
        <f>VLOOKUP(A34,Summary!B:B,1,FALSE)</f>
        <v>3034 - Carri On Melbou</v>
      </c>
    </row>
    <row r="35" spans="1:17" ht="14.5" x14ac:dyDescent="0.35">
      <c r="A35" s="96" t="s">
        <v>41</v>
      </c>
      <c r="B35" s="97">
        <v>0</v>
      </c>
      <c r="C35" s="97">
        <v>164.3</v>
      </c>
      <c r="D35" s="97">
        <v>707.61</v>
      </c>
      <c r="E35" s="97">
        <v>1559.03</v>
      </c>
      <c r="F35" s="97">
        <v>1749.98</v>
      </c>
      <c r="G35" s="97">
        <v>1033.32</v>
      </c>
      <c r="H35" s="97">
        <v>1684.95</v>
      </c>
      <c r="I35" s="97">
        <v>764.03</v>
      </c>
      <c r="J35" s="97">
        <v>196.52</v>
      </c>
      <c r="K35" s="97">
        <v>994.69</v>
      </c>
      <c r="L35" s="97">
        <v>-618.61</v>
      </c>
      <c r="M35" s="97">
        <v>0</v>
      </c>
      <c r="N35" s="97">
        <v>0</v>
      </c>
      <c r="O35" s="97">
        <v>-8235.82</v>
      </c>
      <c r="Q35" s="1" t="str">
        <f>VLOOKUP(A35,Summary!B:B,1,FALSE)</f>
        <v>3175 - AW Melb Land</v>
      </c>
    </row>
    <row r="36" spans="1:17" ht="14.5" x14ac:dyDescent="0.35">
      <c r="A36" s="96" t="s">
        <v>42</v>
      </c>
      <c r="B36" s="97">
        <v>0</v>
      </c>
      <c r="C36" s="97">
        <v>0</v>
      </c>
      <c r="D36" s="97">
        <v>0</v>
      </c>
      <c r="E36" s="97">
        <v>0</v>
      </c>
      <c r="F36" s="97">
        <v>0</v>
      </c>
      <c r="G36" s="97">
        <v>181.37</v>
      </c>
      <c r="H36" s="97">
        <v>0</v>
      </c>
      <c r="I36" s="97">
        <v>0</v>
      </c>
      <c r="J36" s="97">
        <v>104.97</v>
      </c>
      <c r="K36" s="97">
        <v>0</v>
      </c>
      <c r="L36" s="97">
        <v>0</v>
      </c>
      <c r="M36" s="97">
        <v>0</v>
      </c>
      <c r="N36" s="97">
        <v>0</v>
      </c>
      <c r="O36" s="97">
        <v>-286.33999999999997</v>
      </c>
      <c r="Q36" s="1" t="str">
        <f>VLOOKUP(A36,Summary!B:B,1,FALSE)</f>
        <v>3213 - CarryOn Melb II</v>
      </c>
    </row>
    <row r="37" spans="1:17" ht="14.5" x14ac:dyDescent="0.35">
      <c r="A37" s="96" t="s">
        <v>136</v>
      </c>
      <c r="B37" s="97">
        <v>0</v>
      </c>
      <c r="C37" s="97">
        <v>0</v>
      </c>
      <c r="D37" s="97">
        <v>0</v>
      </c>
      <c r="E37" s="97">
        <v>0</v>
      </c>
      <c r="F37" s="97">
        <v>0</v>
      </c>
      <c r="G37" s="97">
        <v>621.77</v>
      </c>
      <c r="H37" s="97">
        <v>514.02</v>
      </c>
      <c r="I37" s="97">
        <v>-572.15</v>
      </c>
      <c r="J37" s="97">
        <v>923.14</v>
      </c>
      <c r="K37" s="97">
        <v>-1224.03</v>
      </c>
      <c r="L37" s="97">
        <v>-262.75</v>
      </c>
      <c r="M37" s="97">
        <v>0</v>
      </c>
      <c r="N37" s="97">
        <v>0</v>
      </c>
      <c r="O37" s="97">
        <v>0</v>
      </c>
      <c r="Q37" s="1" t="str">
        <f>VLOOKUP(A37,Summary!B:B,1,FALSE)</f>
        <v>3228 - NC CollinsPlace</v>
      </c>
    </row>
    <row r="38" spans="1:17" ht="14.5" x14ac:dyDescent="0.35">
      <c r="A38" s="96" t="s">
        <v>43</v>
      </c>
      <c r="B38" s="97">
        <v>0</v>
      </c>
      <c r="C38" s="97">
        <v>0</v>
      </c>
      <c r="D38" s="97">
        <v>0</v>
      </c>
      <c r="E38" s="97">
        <v>0</v>
      </c>
      <c r="F38" s="97">
        <v>0</v>
      </c>
      <c r="G38" s="97">
        <v>0</v>
      </c>
      <c r="H38" s="97">
        <v>0</v>
      </c>
      <c r="I38" s="97">
        <v>0</v>
      </c>
      <c r="J38" s="97">
        <v>0</v>
      </c>
      <c r="K38" s="97">
        <v>0</v>
      </c>
      <c r="L38" s="97">
        <v>0</v>
      </c>
      <c r="M38" s="97">
        <v>0</v>
      </c>
      <c r="N38" s="97">
        <v>0</v>
      </c>
      <c r="O38" s="97">
        <v>0</v>
      </c>
      <c r="Q38" s="1" t="str">
        <f>VLOOKUP(A38,Summary!B:B,1,FALSE)</f>
        <v>4005 - AW Brisbane Dom</v>
      </c>
    </row>
    <row r="39" spans="1:17" ht="14.5" x14ac:dyDescent="0.35">
      <c r="A39" s="96" t="s">
        <v>44</v>
      </c>
      <c r="B39" s="97">
        <v>0</v>
      </c>
      <c r="C39" s="97">
        <v>-1839.08</v>
      </c>
      <c r="D39" s="97">
        <v>1021.96</v>
      </c>
      <c r="E39" s="97">
        <v>-1368.07</v>
      </c>
      <c r="F39" s="97">
        <v>-27.28</v>
      </c>
      <c r="G39" s="97">
        <v>321.5</v>
      </c>
      <c r="H39" s="97">
        <v>287.83999999999997</v>
      </c>
      <c r="I39" s="97">
        <v>-356.36</v>
      </c>
      <c r="J39" s="97">
        <v>100.42</v>
      </c>
      <c r="K39" s="97">
        <v>420.81</v>
      </c>
      <c r="L39" s="97">
        <v>1366.05</v>
      </c>
      <c r="M39" s="97">
        <v>0</v>
      </c>
      <c r="N39" s="97">
        <v>0</v>
      </c>
      <c r="O39" s="97">
        <v>72.209999999999994</v>
      </c>
      <c r="Q39" s="1" t="str">
        <f>VLOOKUP(A39,Summary!B:B,1,FALSE)</f>
        <v>4024 - NT Express Bris</v>
      </c>
    </row>
    <row r="40" spans="1:17" ht="14.5" x14ac:dyDescent="0.35">
      <c r="A40" s="96" t="s">
        <v>45</v>
      </c>
      <c r="B40" s="97">
        <v>0</v>
      </c>
      <c r="C40" s="97">
        <v>0</v>
      </c>
      <c r="D40" s="97">
        <v>0</v>
      </c>
      <c r="E40" s="97">
        <v>0</v>
      </c>
      <c r="F40" s="97">
        <v>0</v>
      </c>
      <c r="G40" s="97">
        <v>0</v>
      </c>
      <c r="H40" s="97">
        <v>0</v>
      </c>
      <c r="I40" s="97">
        <v>0</v>
      </c>
      <c r="J40" s="97">
        <v>0</v>
      </c>
      <c r="K40" s="97">
        <v>0</v>
      </c>
      <c r="L40" s="97">
        <v>0</v>
      </c>
      <c r="M40" s="97">
        <v>0</v>
      </c>
      <c r="N40" s="97">
        <v>0</v>
      </c>
      <c r="O40" s="97">
        <v>0</v>
      </c>
      <c r="Q40" s="1" t="str">
        <f>VLOOKUP(A40,Summary!B:B,1,FALSE)</f>
        <v>4036 - AW Brisbane Dom</v>
      </c>
    </row>
    <row r="41" spans="1:17" ht="14.5" x14ac:dyDescent="0.35">
      <c r="A41" s="96" t="s">
        <v>46</v>
      </c>
      <c r="B41" s="97">
        <v>0</v>
      </c>
      <c r="C41" s="97">
        <v>39.9</v>
      </c>
      <c r="D41" s="97">
        <v>90.46</v>
      </c>
      <c r="E41" s="97">
        <v>-130.36000000000001</v>
      </c>
      <c r="F41" s="97">
        <v>64.930000000000007</v>
      </c>
      <c r="G41" s="97">
        <v>112.36</v>
      </c>
      <c r="H41" s="97">
        <v>-47.44</v>
      </c>
      <c r="I41" s="97">
        <v>20.47</v>
      </c>
      <c r="J41" s="97">
        <v>18.73</v>
      </c>
      <c r="K41" s="97">
        <v>-109.15</v>
      </c>
      <c r="L41" s="97">
        <v>5.58</v>
      </c>
      <c r="M41" s="97">
        <v>0</v>
      </c>
      <c r="N41" s="97">
        <v>0</v>
      </c>
      <c r="O41" s="97">
        <v>-65.48</v>
      </c>
      <c r="Q41" s="1" t="str">
        <f>VLOOKUP(A41,Summary!B:B,1,FALSE)</f>
        <v>4085 - Carri On Brisb</v>
      </c>
    </row>
    <row r="42" spans="1:17" ht="14.5" x14ac:dyDescent="0.35">
      <c r="A42" s="96" t="s">
        <v>47</v>
      </c>
      <c r="B42" s="97">
        <v>0</v>
      </c>
      <c r="C42" s="97">
        <v>0</v>
      </c>
      <c r="D42" s="97">
        <v>0</v>
      </c>
      <c r="E42" s="97">
        <v>21</v>
      </c>
      <c r="F42" s="97">
        <v>0</v>
      </c>
      <c r="G42" s="97">
        <v>0</v>
      </c>
      <c r="H42" s="97">
        <v>0</v>
      </c>
      <c r="I42" s="97">
        <v>0</v>
      </c>
      <c r="J42" s="97">
        <v>0</v>
      </c>
      <c r="K42" s="97">
        <v>0</v>
      </c>
      <c r="L42" s="97">
        <v>-3106.35</v>
      </c>
      <c r="M42" s="97">
        <v>4834.49</v>
      </c>
      <c r="N42" s="97">
        <v>-97.32</v>
      </c>
      <c r="O42" s="97">
        <v>-1651.82</v>
      </c>
      <c r="Q42" s="1" t="str">
        <f>VLOOKUP(A42,Summary!B:B,1,FALSE)</f>
        <v>4100 - NT Sunshine</v>
      </c>
    </row>
    <row r="43" spans="1:17" ht="14.5" x14ac:dyDescent="0.35">
      <c r="A43" s="96" t="s">
        <v>127</v>
      </c>
      <c r="B43" s="97">
        <v>0</v>
      </c>
      <c r="C43" s="97">
        <v>0</v>
      </c>
      <c r="D43" s="97">
        <v>-214.21</v>
      </c>
      <c r="E43" s="97">
        <v>-239.57</v>
      </c>
      <c r="F43" s="97">
        <v>14.51</v>
      </c>
      <c r="G43" s="97">
        <v>-114.75</v>
      </c>
      <c r="H43" s="97">
        <v>-62.92</v>
      </c>
      <c r="I43" s="97">
        <v>-4614.93</v>
      </c>
      <c r="J43" s="97">
        <v>4226.07</v>
      </c>
      <c r="K43" s="97">
        <v>-316.85000000000002</v>
      </c>
      <c r="L43" s="97">
        <v>-104.74</v>
      </c>
      <c r="M43" s="97">
        <v>0</v>
      </c>
      <c r="N43" s="97">
        <v>-5.5</v>
      </c>
      <c r="O43" s="97">
        <v>1432.89</v>
      </c>
      <c r="Q43" s="1" t="str">
        <f>VLOOKUP(A43,Summary!B:B,1,FALSE)</f>
        <v>4101 - News@BNE NC</v>
      </c>
    </row>
    <row r="44" spans="1:17" ht="14.5" x14ac:dyDescent="0.35">
      <c r="A44" s="96" t="s">
        <v>128</v>
      </c>
      <c r="B44" s="97">
        <v>0</v>
      </c>
      <c r="C44" s="97">
        <v>0</v>
      </c>
      <c r="D44" s="97">
        <v>266.7</v>
      </c>
      <c r="E44" s="97">
        <v>-436.15</v>
      </c>
      <c r="F44" s="97">
        <v>-2348.23</v>
      </c>
      <c r="G44" s="97">
        <v>2863.08</v>
      </c>
      <c r="H44" s="97">
        <v>-427.52</v>
      </c>
      <c r="I44" s="97">
        <v>-2413.12</v>
      </c>
      <c r="J44" s="97">
        <v>2467.52</v>
      </c>
      <c r="K44" s="97">
        <v>-304.31</v>
      </c>
      <c r="L44" s="97">
        <v>-1970.66</v>
      </c>
      <c r="M44" s="97">
        <v>0</v>
      </c>
      <c r="N44" s="97">
        <v>0</v>
      </c>
      <c r="O44" s="97">
        <v>2302.69</v>
      </c>
      <c r="Q44" s="1" t="str">
        <f>VLOOKUP(A44,Summary!B:B,1,FALSE)</f>
        <v>4102 - NE@BNE ANorth</v>
      </c>
    </row>
    <row r="45" spans="1:17" ht="14.5" x14ac:dyDescent="0.35">
      <c r="A45" s="96" t="s">
        <v>129</v>
      </c>
      <c r="B45" s="97">
        <v>0</v>
      </c>
      <c r="C45" s="97">
        <v>0</v>
      </c>
      <c r="D45" s="97">
        <v>-26.34</v>
      </c>
      <c r="E45" s="97">
        <v>-34.549999999999997</v>
      </c>
      <c r="F45" s="97">
        <v>-2581.89</v>
      </c>
      <c r="G45" s="97">
        <v>225.07</v>
      </c>
      <c r="H45" s="97">
        <v>2221.09</v>
      </c>
      <c r="I45" s="97">
        <v>-56.36</v>
      </c>
      <c r="J45" s="97">
        <v>20.32</v>
      </c>
      <c r="K45" s="97">
        <v>-173.33</v>
      </c>
      <c r="L45" s="97">
        <v>-3559.25</v>
      </c>
      <c r="M45" s="97">
        <v>0</v>
      </c>
      <c r="N45" s="97">
        <v>0</v>
      </c>
      <c r="O45" s="97">
        <v>3965.24</v>
      </c>
      <c r="Q45" s="1" t="str">
        <f>VLOOKUP(A45,Summary!B:B,1,FALSE)</f>
        <v>4103 - NE@ BNE ASouth</v>
      </c>
    </row>
    <row r="46" spans="1:17" ht="14.5" x14ac:dyDescent="0.35">
      <c r="A46" s="96" t="s">
        <v>130</v>
      </c>
      <c r="B46" s="97">
        <v>0</v>
      </c>
      <c r="C46" s="97">
        <v>862.44</v>
      </c>
      <c r="D46" s="97">
        <v>155.35</v>
      </c>
      <c r="E46" s="97">
        <v>-486.81</v>
      </c>
      <c r="F46" s="97">
        <v>669.04</v>
      </c>
      <c r="G46" s="97">
        <v>378.21</v>
      </c>
      <c r="H46" s="97">
        <v>-683.24</v>
      </c>
      <c r="I46" s="97">
        <v>-90.92</v>
      </c>
      <c r="J46" s="97">
        <v>198.28</v>
      </c>
      <c r="K46" s="97">
        <v>-352.98</v>
      </c>
      <c r="L46" s="97">
        <v>-650.97</v>
      </c>
      <c r="M46" s="97">
        <v>0</v>
      </c>
      <c r="N46" s="97">
        <v>0</v>
      </c>
      <c r="O46" s="97">
        <v>1.6</v>
      </c>
      <c r="Q46" s="1" t="str">
        <f>VLOOKUP(A46,Summary!B:B,1,FALSE)</f>
        <v>4104 - Xpress@BNE</v>
      </c>
    </row>
    <row r="47" spans="1:17" ht="14.5" x14ac:dyDescent="0.35">
      <c r="A47" s="96" t="s">
        <v>131</v>
      </c>
      <c r="B47" s="97">
        <v>0</v>
      </c>
      <c r="C47" s="97">
        <v>0</v>
      </c>
      <c r="D47" s="97">
        <v>5100.75</v>
      </c>
      <c r="E47" s="97">
        <v>1844.13</v>
      </c>
      <c r="F47" s="97">
        <v>5212.84</v>
      </c>
      <c r="G47" s="97">
        <v>-2383.2600000000002</v>
      </c>
      <c r="H47" s="97">
        <v>-4716.16</v>
      </c>
      <c r="I47" s="97">
        <v>552.66999999999996</v>
      </c>
      <c r="J47" s="97">
        <v>-1283.83</v>
      </c>
      <c r="K47" s="97">
        <v>-2075.4299999999998</v>
      </c>
      <c r="L47" s="97">
        <v>-1751.56</v>
      </c>
      <c r="M47" s="97">
        <v>0</v>
      </c>
      <c r="N47" s="97">
        <v>0</v>
      </c>
      <c r="O47" s="97">
        <v>-500.15</v>
      </c>
      <c r="Q47" s="1" t="str">
        <f>VLOOKUP(A47,Summary!B:B,1,FALSE)</f>
        <v>4106 - News@BNE CC</v>
      </c>
    </row>
    <row r="48" spans="1:17" ht="14.5" x14ac:dyDescent="0.35">
      <c r="A48" s="96" t="s">
        <v>137</v>
      </c>
      <c r="B48" s="97">
        <v>0</v>
      </c>
      <c r="C48" s="97">
        <v>0</v>
      </c>
      <c r="D48" s="97">
        <v>0</v>
      </c>
      <c r="E48" s="97">
        <v>0</v>
      </c>
      <c r="F48" s="97">
        <v>0</v>
      </c>
      <c r="G48" s="97">
        <v>41452.28</v>
      </c>
      <c r="H48" s="97">
        <v>-47578.03</v>
      </c>
      <c r="I48" s="97">
        <v>-1247.8900000000001</v>
      </c>
      <c r="J48" s="97">
        <v>2744.14</v>
      </c>
      <c r="K48" s="97">
        <v>-6160.35</v>
      </c>
      <c r="L48" s="97">
        <v>-11067.16</v>
      </c>
      <c r="M48" s="97">
        <v>0</v>
      </c>
      <c r="N48" s="97">
        <v>0</v>
      </c>
      <c r="O48" s="97">
        <v>21857.01</v>
      </c>
      <c r="Q48" s="1" t="str">
        <f>VLOOKUP(A48,Summary!B:B,1,FALSE)</f>
        <v>4107 - News@BNE Qantas</v>
      </c>
    </row>
    <row r="49" spans="1:17" ht="14.5" x14ac:dyDescent="0.35">
      <c r="A49" s="96" t="s">
        <v>139</v>
      </c>
      <c r="B49" s="97">
        <v>0</v>
      </c>
      <c r="C49" s="97">
        <v>0</v>
      </c>
      <c r="D49" s="97">
        <v>0</v>
      </c>
      <c r="E49" s="97">
        <v>0</v>
      </c>
      <c r="F49" s="97">
        <v>0</v>
      </c>
      <c r="G49" s="97">
        <v>-34844.1</v>
      </c>
      <c r="H49" s="97">
        <v>31959.7</v>
      </c>
      <c r="I49" s="97">
        <v>0</v>
      </c>
      <c r="J49" s="97">
        <v>0</v>
      </c>
      <c r="K49" s="97">
        <v>3.1</v>
      </c>
      <c r="L49" s="97">
        <v>0</v>
      </c>
      <c r="M49" s="97">
        <v>0</v>
      </c>
      <c r="N49" s="97">
        <v>0</v>
      </c>
      <c r="O49" s="97">
        <v>2881.3</v>
      </c>
      <c r="Q49" s="1" t="str">
        <f>VLOOKUP(A49,Summary!B:B,1,FALSE)</f>
        <v>4108 - News@BNE SS</v>
      </c>
    </row>
    <row r="50" spans="1:17" ht="14.5" x14ac:dyDescent="0.35">
      <c r="A50" s="96" t="s">
        <v>132</v>
      </c>
      <c r="B50" s="97">
        <v>0</v>
      </c>
      <c r="C50" s="97">
        <v>0</v>
      </c>
      <c r="D50" s="97">
        <v>2237.6799999999998</v>
      </c>
      <c r="E50" s="97">
        <v>111.32</v>
      </c>
      <c r="F50" s="97">
        <v>1243.6099999999999</v>
      </c>
      <c r="G50" s="97">
        <v>3009.93</v>
      </c>
      <c r="H50" s="97">
        <v>-4300.9399999999996</v>
      </c>
      <c r="I50" s="97">
        <v>212.1</v>
      </c>
      <c r="J50" s="97">
        <v>592.14</v>
      </c>
      <c r="K50" s="97">
        <v>-873.74</v>
      </c>
      <c r="L50" s="97">
        <v>-1313.63</v>
      </c>
      <c r="M50" s="97">
        <v>0</v>
      </c>
      <c r="N50" s="97">
        <v>0</v>
      </c>
      <c r="O50" s="97">
        <v>-918.47</v>
      </c>
      <c r="Q50" s="1" t="str">
        <f>VLOOKUP(A50,Summary!B:B,1,FALSE)</f>
        <v>4109 - News@BNE NS</v>
      </c>
    </row>
    <row r="51" spans="1:17" ht="14.5" x14ac:dyDescent="0.35">
      <c r="A51" s="96" t="s">
        <v>134</v>
      </c>
      <c r="B51" s="97">
        <v>0</v>
      </c>
      <c r="C51" s="97">
        <v>0</v>
      </c>
      <c r="D51" s="97">
        <v>0</v>
      </c>
      <c r="E51" s="97">
        <v>2288.6</v>
      </c>
      <c r="F51" s="97">
        <v>2883.76</v>
      </c>
      <c r="G51" s="97">
        <v>9121.23</v>
      </c>
      <c r="H51" s="97">
        <v>10173.42</v>
      </c>
      <c r="I51" s="97">
        <v>-714.8</v>
      </c>
      <c r="J51" s="97">
        <v>169.74</v>
      </c>
      <c r="K51" s="97">
        <v>-31.45</v>
      </c>
      <c r="L51" s="97">
        <v>-2118.11</v>
      </c>
      <c r="M51" s="97">
        <v>0</v>
      </c>
      <c r="N51" s="97">
        <v>0</v>
      </c>
      <c r="O51" s="97">
        <v>-21772.39</v>
      </c>
      <c r="Q51" s="1" t="str">
        <f>VLOOKUP(A51,Summary!B:B,1,FALSE)</f>
        <v>4110 - News@BNE CS</v>
      </c>
    </row>
    <row r="52" spans="1:17" ht="14.5" x14ac:dyDescent="0.35">
      <c r="A52" s="96" t="s">
        <v>48</v>
      </c>
      <c r="B52" s="97">
        <v>0</v>
      </c>
      <c r="C52" s="97">
        <v>551</v>
      </c>
      <c r="D52" s="97">
        <v>-137.21</v>
      </c>
      <c r="E52" s="97">
        <v>267.52</v>
      </c>
      <c r="F52" s="97">
        <v>88.99</v>
      </c>
      <c r="G52" s="97">
        <v>520.61</v>
      </c>
      <c r="H52" s="97">
        <v>271.69</v>
      </c>
      <c r="I52" s="97">
        <v>-233.05</v>
      </c>
      <c r="J52" s="97">
        <v>101.93</v>
      </c>
      <c r="K52" s="97">
        <v>37.6</v>
      </c>
      <c r="L52" s="97">
        <v>-382.77</v>
      </c>
      <c r="M52" s="97">
        <v>0</v>
      </c>
      <c r="N52" s="97">
        <v>0</v>
      </c>
      <c r="O52" s="97">
        <v>-1086.31</v>
      </c>
      <c r="Q52" s="1" t="str">
        <f>VLOOKUP(A52,Summary!B:B,1,FALSE)</f>
        <v>4115 - NT Kiosk Bris</v>
      </c>
    </row>
    <row r="53" spans="1:17" ht="14.5" x14ac:dyDescent="0.35">
      <c r="A53" s="96" t="s">
        <v>117</v>
      </c>
      <c r="B53" s="97">
        <v>0</v>
      </c>
      <c r="C53" s="97">
        <v>0</v>
      </c>
      <c r="D53" s="97">
        <v>1402.02</v>
      </c>
      <c r="E53" s="97">
        <v>1079.6600000000001</v>
      </c>
      <c r="F53" s="97">
        <v>920.35</v>
      </c>
      <c r="G53" s="97">
        <v>1945.09</v>
      </c>
      <c r="H53" s="97">
        <v>1619.13</v>
      </c>
      <c r="I53" s="97">
        <v>2628.76</v>
      </c>
      <c r="J53" s="97">
        <v>1905.5</v>
      </c>
      <c r="K53" s="97">
        <v>962.67</v>
      </c>
      <c r="L53" s="97">
        <v>61</v>
      </c>
      <c r="M53" s="97">
        <v>0</v>
      </c>
      <c r="N53" s="97">
        <v>0</v>
      </c>
      <c r="O53" s="97">
        <v>-12524.18</v>
      </c>
      <c r="Q53" s="1" t="str">
        <f>VLOOKUP(A53,Summary!B:B,1,FALSE)</f>
        <v>4122 - 153 East Sunshi</v>
      </c>
    </row>
    <row r="54" spans="1:17" ht="14.5" x14ac:dyDescent="0.35">
      <c r="A54" s="96" t="s">
        <v>49</v>
      </c>
      <c r="B54" s="97">
        <v>0</v>
      </c>
      <c r="C54" s="97">
        <v>5</v>
      </c>
      <c r="D54" s="97">
        <v>-5.3</v>
      </c>
      <c r="E54" s="97">
        <v>0</v>
      </c>
      <c r="F54" s="97">
        <v>0</v>
      </c>
      <c r="G54" s="97">
        <v>0</v>
      </c>
      <c r="H54" s="97">
        <v>0</v>
      </c>
      <c r="I54" s="97">
        <v>0</v>
      </c>
      <c r="J54" s="97">
        <v>0</v>
      </c>
      <c r="K54" s="97">
        <v>0</v>
      </c>
      <c r="L54" s="97">
        <v>0</v>
      </c>
      <c r="M54" s="97">
        <v>0</v>
      </c>
      <c r="N54" s="97">
        <v>0</v>
      </c>
      <c r="O54" s="97">
        <v>0.3</v>
      </c>
      <c r="Q54" s="1" t="str">
        <f>VLOOKUP(A54,Summary!B:B,1,FALSE)</f>
        <v>4145 - NT Common User</v>
      </c>
    </row>
    <row r="55" spans="1:17" ht="14.5" x14ac:dyDescent="0.35">
      <c r="A55" s="96" t="s">
        <v>50</v>
      </c>
      <c r="B55" s="97">
        <v>0</v>
      </c>
      <c r="C55" s="97">
        <v>0</v>
      </c>
      <c r="D55" s="97">
        <v>0</v>
      </c>
      <c r="E55" s="97">
        <v>0</v>
      </c>
      <c r="F55" s="97">
        <v>0</v>
      </c>
      <c r="G55" s="97">
        <v>0</v>
      </c>
      <c r="H55" s="97">
        <v>0</v>
      </c>
      <c r="I55" s="97">
        <v>0</v>
      </c>
      <c r="J55" s="97">
        <v>0</v>
      </c>
      <c r="K55" s="97">
        <v>0</v>
      </c>
      <c r="L55" s="97">
        <v>0</v>
      </c>
      <c r="M55" s="97">
        <v>0</v>
      </c>
      <c r="N55" s="97">
        <v>0</v>
      </c>
      <c r="O55" s="97">
        <v>0</v>
      </c>
      <c r="Q55" s="1" t="str">
        <f>VLOOKUP(A55,Summary!B:B,1,FALSE)</f>
        <v>4149 - Aero Brisbane V</v>
      </c>
    </row>
    <row r="56" spans="1:17" ht="14.5" x14ac:dyDescent="0.35">
      <c r="A56" s="96" t="s">
        <v>51</v>
      </c>
      <c r="B56" s="97">
        <v>0</v>
      </c>
      <c r="C56" s="97">
        <v>0</v>
      </c>
      <c r="D56" s="97">
        <v>0</v>
      </c>
      <c r="E56" s="97">
        <v>0</v>
      </c>
      <c r="F56" s="97">
        <v>0</v>
      </c>
      <c r="G56" s="97">
        <v>0</v>
      </c>
      <c r="H56" s="97">
        <v>0</v>
      </c>
      <c r="I56" s="97">
        <v>0</v>
      </c>
      <c r="J56" s="97">
        <v>0</v>
      </c>
      <c r="K56" s="97">
        <v>0</v>
      </c>
      <c r="L56" s="97">
        <v>0</v>
      </c>
      <c r="M56" s="97">
        <v>0</v>
      </c>
      <c r="N56" s="97">
        <v>0</v>
      </c>
      <c r="O56" s="97">
        <v>0</v>
      </c>
      <c r="Q56" s="1" t="str">
        <f>VLOOKUP(A56,Summary!B:B,1,FALSE)</f>
        <v>4155 - CO Bris Virgin</v>
      </c>
    </row>
    <row r="57" spans="1:17" ht="14.5" x14ac:dyDescent="0.35">
      <c r="A57" s="96" t="s">
        <v>52</v>
      </c>
      <c r="B57" s="97">
        <v>0</v>
      </c>
      <c r="C57" s="97">
        <v>1.5</v>
      </c>
      <c r="D57" s="97">
        <v>-126.84</v>
      </c>
      <c r="E57" s="97">
        <v>-67.94</v>
      </c>
      <c r="F57" s="97">
        <v>0</v>
      </c>
      <c r="G57" s="97">
        <v>-6485.24</v>
      </c>
      <c r="H57" s="97">
        <v>0</v>
      </c>
      <c r="I57" s="97">
        <v>0</v>
      </c>
      <c r="J57" s="97">
        <v>0</v>
      </c>
      <c r="K57" s="97">
        <v>0</v>
      </c>
      <c r="L57" s="97">
        <v>0</v>
      </c>
      <c r="M57" s="97">
        <v>0</v>
      </c>
      <c r="N57" s="97">
        <v>0</v>
      </c>
      <c r="O57" s="97">
        <v>6678.52</v>
      </c>
      <c r="Q57" s="1" t="str">
        <f>VLOOKUP(A57,Summary!B:B,1,FALSE)</f>
        <v>4157 - Aero Sat Virgin</v>
      </c>
    </row>
    <row r="58" spans="1:17" ht="14.5" x14ac:dyDescent="0.35">
      <c r="A58" s="96" t="s">
        <v>53</v>
      </c>
      <c r="B58" s="97">
        <v>0</v>
      </c>
      <c r="C58" s="97">
        <v>-2991.46</v>
      </c>
      <c r="D58" s="97">
        <v>1676.41</v>
      </c>
      <c r="E58" s="97">
        <v>-1066.97</v>
      </c>
      <c r="F58" s="97">
        <v>1290.5</v>
      </c>
      <c r="G58" s="97">
        <v>-585.71</v>
      </c>
      <c r="H58" s="97">
        <v>1385.67</v>
      </c>
      <c r="I58" s="97">
        <v>-2645.43</v>
      </c>
      <c r="J58" s="97">
        <v>1764.98</v>
      </c>
      <c r="K58" s="97">
        <v>-96.69</v>
      </c>
      <c r="L58" s="97">
        <v>2051.5300000000002</v>
      </c>
      <c r="M58" s="97">
        <v>0</v>
      </c>
      <c r="N58" s="97">
        <v>0</v>
      </c>
      <c r="O58" s="97">
        <v>-782.83</v>
      </c>
      <c r="Q58" s="1" t="str">
        <f>VLOOKUP(A58,Summary!B:B,1,FALSE)</f>
        <v>4170 - NT Brisbane Lan</v>
      </c>
    </row>
    <row r="59" spans="1:17" ht="14.5" x14ac:dyDescent="0.35">
      <c r="A59" s="96" t="s">
        <v>118</v>
      </c>
      <c r="B59" s="97">
        <v>0</v>
      </c>
      <c r="C59" s="97">
        <v>0</v>
      </c>
      <c r="D59" s="97">
        <v>-939.37</v>
      </c>
      <c r="E59" s="97">
        <v>0</v>
      </c>
      <c r="F59" s="97">
        <v>0</v>
      </c>
      <c r="G59" s="97">
        <v>0</v>
      </c>
      <c r="H59" s="97">
        <v>0</v>
      </c>
      <c r="I59" s="97">
        <v>0</v>
      </c>
      <c r="J59" s="97">
        <v>0</v>
      </c>
      <c r="K59" s="97">
        <v>0</v>
      </c>
      <c r="L59" s="97">
        <v>0</v>
      </c>
      <c r="M59" s="97">
        <v>0</v>
      </c>
      <c r="N59" s="97">
        <v>0</v>
      </c>
      <c r="O59" s="97">
        <v>939.37</v>
      </c>
      <c r="Q59" s="1" t="str">
        <f>VLOOKUP(A59,Summary!B:B,1,FALSE)</f>
        <v>4200 - News Satellite</v>
      </c>
    </row>
    <row r="60" spans="1:17" ht="14.5" x14ac:dyDescent="0.35">
      <c r="A60" s="96" t="s">
        <v>119</v>
      </c>
      <c r="B60" s="97">
        <v>0</v>
      </c>
      <c r="C60" s="97">
        <v>0</v>
      </c>
      <c r="D60" s="97">
        <v>0</v>
      </c>
      <c r="E60" s="97">
        <v>0</v>
      </c>
      <c r="F60" s="97">
        <v>0</v>
      </c>
      <c r="G60" s="97">
        <v>0</v>
      </c>
      <c r="H60" s="97">
        <v>0</v>
      </c>
      <c r="I60" s="97">
        <v>0</v>
      </c>
      <c r="J60" s="97">
        <v>0</v>
      </c>
      <c r="K60" s="97">
        <v>0</v>
      </c>
      <c r="L60" s="97">
        <v>0</v>
      </c>
      <c r="M60" s="97">
        <v>0</v>
      </c>
      <c r="N60" s="97">
        <v>0</v>
      </c>
      <c r="O60" s="97">
        <v>0</v>
      </c>
      <c r="Q60" s="1" t="str">
        <f>VLOOKUP(A60,Summary!B:B,1,FALSE)</f>
        <v>4201 - News Concourse</v>
      </c>
    </row>
    <row r="61" spans="1:17" ht="14.5" x14ac:dyDescent="0.35">
      <c r="A61" s="96" t="s">
        <v>120</v>
      </c>
      <c r="B61" s="97">
        <v>0</v>
      </c>
      <c r="C61" s="97">
        <v>0</v>
      </c>
      <c r="D61" s="97">
        <v>0</v>
      </c>
      <c r="E61" s="97">
        <v>0</v>
      </c>
      <c r="F61" s="97">
        <v>0</v>
      </c>
      <c r="G61" s="97">
        <v>0</v>
      </c>
      <c r="H61" s="97">
        <v>0</v>
      </c>
      <c r="I61" s="97">
        <v>0</v>
      </c>
      <c r="J61" s="97">
        <v>0</v>
      </c>
      <c r="K61" s="97">
        <v>0</v>
      </c>
      <c r="L61" s="97">
        <v>0</v>
      </c>
      <c r="M61" s="97">
        <v>0</v>
      </c>
      <c r="N61" s="97">
        <v>0</v>
      </c>
      <c r="O61" s="97">
        <v>0</v>
      </c>
      <c r="Q61" s="1" t="str">
        <f>VLOOKUP(A61,Summary!B:B,1,FALSE)</f>
        <v>4203 - N&amp;C Temp Guess</v>
      </c>
    </row>
    <row r="62" spans="1:17" ht="14.5" x14ac:dyDescent="0.35">
      <c r="A62" s="96" t="s">
        <v>54</v>
      </c>
      <c r="B62" s="97">
        <v>0</v>
      </c>
      <c r="C62" s="97">
        <v>0</v>
      </c>
      <c r="D62" s="97">
        <v>-91.02</v>
      </c>
      <c r="E62" s="97">
        <v>116.94</v>
      </c>
      <c r="F62" s="97">
        <v>-183.59</v>
      </c>
      <c r="G62" s="97">
        <v>172.54</v>
      </c>
      <c r="H62" s="97">
        <v>112.78</v>
      </c>
      <c r="I62" s="97">
        <v>-145.68</v>
      </c>
      <c r="J62" s="97">
        <v>-404.76</v>
      </c>
      <c r="K62" s="97">
        <v>806.03</v>
      </c>
      <c r="L62" s="97">
        <v>-384.3</v>
      </c>
      <c r="M62" s="97">
        <v>0</v>
      </c>
      <c r="N62" s="97">
        <v>0</v>
      </c>
      <c r="O62" s="97">
        <v>1.06</v>
      </c>
      <c r="Q62" s="1" t="str">
        <f>VLOOKUP(A62,Summary!B:B,1,FALSE)</f>
        <v>4235 - AW Brisbane Int</v>
      </c>
    </row>
    <row r="63" spans="1:17" ht="14.5" x14ac:dyDescent="0.35">
      <c r="A63" s="96" t="s">
        <v>55</v>
      </c>
      <c r="B63" s="97">
        <v>0</v>
      </c>
      <c r="C63" s="97">
        <v>202.4</v>
      </c>
      <c r="D63" s="97">
        <v>-194</v>
      </c>
      <c r="E63" s="97">
        <v>0</v>
      </c>
      <c r="F63" s="97">
        <v>0</v>
      </c>
      <c r="G63" s="97">
        <v>0</v>
      </c>
      <c r="H63" s="97">
        <v>0</v>
      </c>
      <c r="I63" s="97">
        <v>0</v>
      </c>
      <c r="J63" s="97">
        <v>0</v>
      </c>
      <c r="K63" s="97">
        <v>0</v>
      </c>
      <c r="L63" s="97">
        <v>0</v>
      </c>
      <c r="M63" s="97">
        <v>0</v>
      </c>
      <c r="N63" s="97">
        <v>0</v>
      </c>
      <c r="O63" s="97">
        <v>-8.4</v>
      </c>
      <c r="Q63" s="1" t="str">
        <f>VLOOKUP(A63,Summary!B:B,1,FALSE)</f>
        <v>4239 - NT CU Satellite</v>
      </c>
    </row>
    <row r="64" spans="1:17" ht="14.5" x14ac:dyDescent="0.35">
      <c r="A64" s="96" t="s">
        <v>56</v>
      </c>
      <c r="B64" s="97">
        <v>0</v>
      </c>
      <c r="C64" s="97">
        <v>193.76</v>
      </c>
      <c r="D64" s="97">
        <v>559.69000000000005</v>
      </c>
      <c r="E64" s="97">
        <v>-547.80999999999995</v>
      </c>
      <c r="F64" s="97">
        <v>274.58999999999997</v>
      </c>
      <c r="G64" s="97">
        <v>1718.95</v>
      </c>
      <c r="H64" s="97">
        <v>-1049.03</v>
      </c>
      <c r="I64" s="97">
        <v>-6032.87</v>
      </c>
      <c r="J64" s="97">
        <v>9492.11</v>
      </c>
      <c r="K64" s="97">
        <v>-2746.59</v>
      </c>
      <c r="L64" s="97">
        <v>-17241.95</v>
      </c>
      <c r="M64" s="97">
        <v>0</v>
      </c>
      <c r="N64" s="97">
        <v>0</v>
      </c>
      <c r="O64" s="97">
        <v>15379.15</v>
      </c>
      <c r="Q64" s="1" t="str">
        <f>VLOOKUP(A64,Summary!B:B,1,FALSE)</f>
        <v>4244 - Merino Collecti</v>
      </c>
    </row>
    <row r="65" spans="1:17" ht="14.5" x14ac:dyDescent="0.35">
      <c r="A65" s="96" t="s">
        <v>143</v>
      </c>
      <c r="B65" s="97">
        <v>0</v>
      </c>
      <c r="C65" s="97">
        <v>0</v>
      </c>
      <c r="D65" s="97">
        <v>0</v>
      </c>
      <c r="E65" s="97">
        <v>0</v>
      </c>
      <c r="F65" s="97">
        <v>0</v>
      </c>
      <c r="G65" s="97">
        <v>0</v>
      </c>
      <c r="H65" s="97">
        <v>3061.26</v>
      </c>
      <c r="I65" s="97">
        <v>207.41</v>
      </c>
      <c r="J65" s="97">
        <v>-1249.72</v>
      </c>
      <c r="K65" s="97">
        <v>-137.77000000000001</v>
      </c>
      <c r="L65" s="97">
        <v>2047.24</v>
      </c>
      <c r="M65" s="97">
        <v>0</v>
      </c>
      <c r="N65" s="97">
        <v>0</v>
      </c>
      <c r="O65" s="97">
        <v>-3928.42</v>
      </c>
      <c r="Q65" s="1" t="str">
        <f>VLOOKUP(A65,Summary!B:B,1,FALSE)</f>
        <v>4250 - News@MKY</v>
      </c>
    </row>
    <row r="66" spans="1:17" ht="14.5" x14ac:dyDescent="0.35">
      <c r="A66" s="96" t="s">
        <v>57</v>
      </c>
      <c r="B66" s="97">
        <v>0</v>
      </c>
      <c r="C66" s="97">
        <v>264.95999999999998</v>
      </c>
      <c r="D66" s="97">
        <v>-69.010000000000005</v>
      </c>
      <c r="E66" s="97">
        <v>27.96</v>
      </c>
      <c r="F66" s="97">
        <v>125.46</v>
      </c>
      <c r="G66" s="97">
        <v>198.46</v>
      </c>
      <c r="H66" s="97">
        <v>-319.16000000000003</v>
      </c>
      <c r="I66" s="97">
        <v>122.27</v>
      </c>
      <c r="J66" s="97">
        <v>165.11</v>
      </c>
      <c r="K66" s="97">
        <v>-126.23</v>
      </c>
      <c r="L66" s="97">
        <v>-241.68</v>
      </c>
      <c r="M66" s="97">
        <v>0</v>
      </c>
      <c r="N66" s="97">
        <v>0</v>
      </c>
      <c r="O66" s="97">
        <v>-148.13999999999999</v>
      </c>
      <c r="Q66" s="1" t="str">
        <f>VLOOKUP(A66,Summary!B:B,1,FALSE)</f>
        <v>4530 - DJ Bris Air</v>
      </c>
    </row>
    <row r="67" spans="1:17" ht="14.5" x14ac:dyDescent="0.35">
      <c r="A67" s="96" t="s">
        <v>58</v>
      </c>
      <c r="B67" s="97">
        <v>0</v>
      </c>
      <c r="C67" s="97">
        <v>-4330.53</v>
      </c>
      <c r="D67" s="97">
        <v>-275.73</v>
      </c>
      <c r="E67" s="97">
        <v>2194.77</v>
      </c>
      <c r="F67" s="97">
        <v>-396.28</v>
      </c>
      <c r="G67" s="97">
        <v>968.9</v>
      </c>
      <c r="H67" s="97">
        <v>13130.47</v>
      </c>
      <c r="I67" s="97">
        <v>-562.95000000000005</v>
      </c>
      <c r="J67" s="97">
        <v>-22.16</v>
      </c>
      <c r="K67" s="97">
        <v>-441.66</v>
      </c>
      <c r="L67" s="97">
        <v>-3627.77</v>
      </c>
      <c r="M67" s="97">
        <v>0</v>
      </c>
      <c r="N67" s="97">
        <v>0</v>
      </c>
      <c r="O67" s="97">
        <v>-6637.06</v>
      </c>
      <c r="Q67" s="1" t="str">
        <f>VLOOKUP(A67,Summary!B:B,1,FALSE)</f>
        <v>4770 - NT Bris Airside</v>
      </c>
    </row>
    <row r="68" spans="1:17" ht="14.5" x14ac:dyDescent="0.35">
      <c r="A68" s="96" t="s">
        <v>59</v>
      </c>
      <c r="B68" s="97">
        <v>0</v>
      </c>
      <c r="C68" s="97">
        <v>824.56</v>
      </c>
      <c r="D68" s="97">
        <v>-2275.9</v>
      </c>
      <c r="E68" s="97">
        <v>2222.08</v>
      </c>
      <c r="F68" s="97">
        <v>6</v>
      </c>
      <c r="G68" s="97">
        <v>0.6</v>
      </c>
      <c r="H68" s="97">
        <v>562.82000000000005</v>
      </c>
      <c r="I68" s="97">
        <v>379.84</v>
      </c>
      <c r="J68" s="97">
        <v>-1732.36</v>
      </c>
      <c r="K68" s="97">
        <v>68.209999999999994</v>
      </c>
      <c r="L68" s="97">
        <v>736.99</v>
      </c>
      <c r="M68" s="97">
        <v>0</v>
      </c>
      <c r="N68" s="97">
        <v>0</v>
      </c>
      <c r="O68" s="97">
        <v>-792.84</v>
      </c>
      <c r="Q68" s="1" t="str">
        <f>VLOOKUP(A68,Summary!B:B,1,FALSE)</f>
        <v>4775 - AW Brisbane Air</v>
      </c>
    </row>
    <row r="69" spans="1:17" ht="14.5" x14ac:dyDescent="0.35">
      <c r="A69" s="96" t="s">
        <v>60</v>
      </c>
      <c r="B69" s="97">
        <v>0</v>
      </c>
      <c r="C69" s="97">
        <v>73.88</v>
      </c>
      <c r="D69" s="97">
        <v>-102.93</v>
      </c>
      <c r="E69" s="97">
        <v>116.92</v>
      </c>
      <c r="F69" s="97">
        <v>286.73</v>
      </c>
      <c r="G69" s="97">
        <v>376.49</v>
      </c>
      <c r="H69" s="97">
        <v>-57.18</v>
      </c>
      <c r="I69" s="97">
        <v>-141.05000000000001</v>
      </c>
      <c r="J69" s="97">
        <v>545.89</v>
      </c>
      <c r="K69" s="97">
        <v>-332.95</v>
      </c>
      <c r="L69" s="97">
        <v>0</v>
      </c>
      <c r="M69" s="97">
        <v>0</v>
      </c>
      <c r="N69" s="97">
        <v>0</v>
      </c>
      <c r="O69" s="97">
        <v>-765.8</v>
      </c>
      <c r="Q69" s="1" t="str">
        <f>VLOOKUP(A69,Summary!B:B,1,FALSE)</f>
        <v>5053 - AW Adelaide Int</v>
      </c>
    </row>
    <row r="70" spans="1:17" ht="14.5" x14ac:dyDescent="0.35">
      <c r="A70" s="96" t="s">
        <v>61</v>
      </c>
      <c r="B70" s="97">
        <v>0</v>
      </c>
      <c r="C70" s="97">
        <v>212.94</v>
      </c>
      <c r="D70" s="97">
        <v>-212.94</v>
      </c>
      <c r="E70" s="97">
        <v>45.47</v>
      </c>
      <c r="F70" s="97">
        <v>0</v>
      </c>
      <c r="G70" s="97">
        <v>0</v>
      </c>
      <c r="H70" s="97">
        <v>82.29</v>
      </c>
      <c r="I70" s="97">
        <v>-157.25</v>
      </c>
      <c r="J70" s="97">
        <v>0</v>
      </c>
      <c r="K70" s="97">
        <v>0</v>
      </c>
      <c r="L70" s="97">
        <v>0</v>
      </c>
      <c r="M70" s="97">
        <v>0</v>
      </c>
      <c r="N70" s="97">
        <v>0</v>
      </c>
      <c r="O70" s="97">
        <v>29.49</v>
      </c>
      <c r="Q70" s="1" t="str">
        <f>VLOOKUP(A70,Summary!B:B,1,FALSE)</f>
        <v>5192 - Carry On Ade</v>
      </c>
    </row>
    <row r="71" spans="1:17" ht="14.5" x14ac:dyDescent="0.35">
      <c r="A71" s="96" t="s">
        <v>62</v>
      </c>
      <c r="B71" s="97">
        <v>0</v>
      </c>
      <c r="C71" s="97">
        <v>1060.6400000000001</v>
      </c>
      <c r="D71" s="97">
        <v>-63.58</v>
      </c>
      <c r="E71" s="97">
        <v>38.04</v>
      </c>
      <c r="F71" s="97">
        <v>-439.26</v>
      </c>
      <c r="G71" s="97">
        <v>633.61</v>
      </c>
      <c r="H71" s="97">
        <v>503.41</v>
      </c>
      <c r="I71" s="97">
        <v>205.99</v>
      </c>
      <c r="J71" s="97">
        <v>204.87</v>
      </c>
      <c r="K71" s="97">
        <v>-1570.49</v>
      </c>
      <c r="L71" s="97">
        <v>1769.96</v>
      </c>
      <c r="M71" s="97">
        <v>0</v>
      </c>
      <c r="N71" s="97">
        <v>0</v>
      </c>
      <c r="O71" s="97">
        <v>-2343.19</v>
      </c>
      <c r="Q71" s="1" t="str">
        <f>VLOOKUP(A71,Summary!B:B,1,FALSE)</f>
        <v>6026 - AW Perth Int Ai</v>
      </c>
    </row>
    <row r="72" spans="1:17" ht="14.5" x14ac:dyDescent="0.35">
      <c r="A72" s="96" t="s">
        <v>63</v>
      </c>
      <c r="B72" s="97">
        <v>0</v>
      </c>
      <c r="C72" s="97">
        <v>592.48</v>
      </c>
      <c r="D72" s="97">
        <v>-28.23</v>
      </c>
      <c r="E72" s="97">
        <v>160.15</v>
      </c>
      <c r="F72" s="97">
        <v>-160.21</v>
      </c>
      <c r="G72" s="97">
        <v>349.46</v>
      </c>
      <c r="H72" s="97">
        <v>259.08</v>
      </c>
      <c r="I72" s="97">
        <v>383.58</v>
      </c>
      <c r="J72" s="97">
        <v>142.13999999999999</v>
      </c>
      <c r="K72" s="97">
        <v>-8.33</v>
      </c>
      <c r="L72" s="97">
        <v>60.26</v>
      </c>
      <c r="M72" s="97">
        <v>0</v>
      </c>
      <c r="N72" s="97">
        <v>0</v>
      </c>
      <c r="O72" s="97">
        <v>-1750.38</v>
      </c>
      <c r="Q72" s="1" t="str">
        <f>VLOOKUP(A72,Summary!B:B,1,FALSE)</f>
        <v>6087 - AW Perth Intern</v>
      </c>
    </row>
    <row r="73" spans="1:17" ht="14.5" x14ac:dyDescent="0.35">
      <c r="A73" s="96" t="s">
        <v>121</v>
      </c>
      <c r="B73" s="97">
        <v>0</v>
      </c>
      <c r="C73" s="97">
        <v>0</v>
      </c>
      <c r="D73" s="97">
        <v>496.22</v>
      </c>
      <c r="E73" s="97">
        <v>-307.08999999999997</v>
      </c>
      <c r="F73" s="97">
        <v>77.62</v>
      </c>
      <c r="G73" s="97">
        <v>265.45999999999998</v>
      </c>
      <c r="H73" s="97">
        <v>-23.44</v>
      </c>
      <c r="I73" s="97">
        <v>109.04</v>
      </c>
      <c r="J73" s="97">
        <v>119.21</v>
      </c>
      <c r="K73" s="97">
        <v>-125.98</v>
      </c>
      <c r="L73" s="97">
        <v>-833.23</v>
      </c>
      <c r="M73" s="97">
        <v>0</v>
      </c>
      <c r="N73" s="97">
        <v>0</v>
      </c>
      <c r="O73" s="97">
        <v>222.19</v>
      </c>
      <c r="Q73" s="1" t="str">
        <f>VLOOKUP(A73,Summary!B:B,1,FALSE)</f>
        <v>6089 - Merino Perth L</v>
      </c>
    </row>
    <row r="74" spans="1:17" ht="14.5" x14ac:dyDescent="0.35">
      <c r="A74" s="96" t="s">
        <v>64</v>
      </c>
      <c r="B74" s="97">
        <v>0</v>
      </c>
      <c r="C74" s="97">
        <v>0</v>
      </c>
      <c r="D74" s="97">
        <v>940.04</v>
      </c>
      <c r="E74" s="97">
        <v>-381.08</v>
      </c>
      <c r="F74" s="97">
        <v>0</v>
      </c>
      <c r="G74" s="97">
        <v>0</v>
      </c>
      <c r="H74" s="97">
        <v>0</v>
      </c>
      <c r="I74" s="97">
        <v>0</v>
      </c>
      <c r="J74" s="97">
        <v>0</v>
      </c>
      <c r="K74" s="97">
        <v>0</v>
      </c>
      <c r="L74" s="97">
        <v>0</v>
      </c>
      <c r="M74" s="97">
        <v>0</v>
      </c>
      <c r="N74" s="97">
        <v>0</v>
      </c>
      <c r="O74" s="97">
        <v>-558.96</v>
      </c>
      <c r="Q74" s="1" t="str">
        <f>VLOOKUP(A74,Summary!B:B,1,FALSE)</f>
        <v>6165 - AW Perth Domest</v>
      </c>
    </row>
    <row r="75" spans="1:17" ht="14.5" x14ac:dyDescent="0.35">
      <c r="A75" s="96" t="s">
        <v>138</v>
      </c>
      <c r="B75" s="97">
        <v>0</v>
      </c>
      <c r="C75" s="97">
        <v>0</v>
      </c>
      <c r="D75" s="97">
        <v>0</v>
      </c>
      <c r="E75" s="97">
        <v>0</v>
      </c>
      <c r="F75" s="97">
        <v>0</v>
      </c>
      <c r="G75" s="97">
        <v>636.85</v>
      </c>
      <c r="H75" s="97">
        <v>876.74</v>
      </c>
      <c r="I75" s="97">
        <v>-623.62</v>
      </c>
      <c r="J75" s="97">
        <v>565.08000000000004</v>
      </c>
      <c r="K75" s="97">
        <v>-368.4</v>
      </c>
      <c r="L75" s="97">
        <v>-453.17</v>
      </c>
      <c r="M75" s="97">
        <v>0</v>
      </c>
      <c r="N75" s="97">
        <v>0</v>
      </c>
      <c r="O75" s="97">
        <v>-633.48</v>
      </c>
      <c r="Q75" s="1" t="str">
        <f>VLOOKUP(A75,Summary!B:B,1,FALSE)</f>
        <v>6176 - Merchant Perth</v>
      </c>
    </row>
    <row r="76" spans="1:17" ht="14.5" x14ac:dyDescent="0.35">
      <c r="A76" s="96" t="s">
        <v>65</v>
      </c>
      <c r="B76" s="97">
        <v>0</v>
      </c>
      <c r="C76" s="97">
        <v>0</v>
      </c>
      <c r="D76" s="97">
        <v>116.87</v>
      </c>
      <c r="E76" s="97">
        <v>-116.87</v>
      </c>
      <c r="F76" s="97">
        <v>93.98</v>
      </c>
      <c r="G76" s="97">
        <v>63.97</v>
      </c>
      <c r="H76" s="97">
        <v>7.99</v>
      </c>
      <c r="I76" s="97">
        <v>311.38</v>
      </c>
      <c r="J76" s="97">
        <v>-288.17</v>
      </c>
      <c r="K76" s="97">
        <v>52.59</v>
      </c>
      <c r="L76" s="97">
        <v>-33.18</v>
      </c>
      <c r="M76" s="97">
        <v>0</v>
      </c>
      <c r="N76" s="97">
        <v>0</v>
      </c>
      <c r="O76" s="97">
        <v>-208.56</v>
      </c>
      <c r="Q76" s="1" t="str">
        <f>VLOOKUP(A76,Summary!B:B,1,FALSE)</f>
        <v>7064 - AW Hobart</v>
      </c>
    </row>
    <row r="77" spans="1:17" ht="14.5" x14ac:dyDescent="0.35">
      <c r="A77" s="96" t="s">
        <v>66</v>
      </c>
      <c r="B77" s="97">
        <v>0</v>
      </c>
      <c r="C77" s="97">
        <v>0</v>
      </c>
      <c r="D77" s="97">
        <v>-118.33</v>
      </c>
      <c r="E77" s="97">
        <v>73.62</v>
      </c>
      <c r="F77" s="97">
        <v>73.19</v>
      </c>
      <c r="G77" s="97">
        <v>-41.67</v>
      </c>
      <c r="H77" s="97">
        <v>213.15</v>
      </c>
      <c r="I77" s="97">
        <v>-9324.8799999999992</v>
      </c>
      <c r="J77" s="97">
        <v>9298.75</v>
      </c>
      <c r="K77" s="97">
        <v>-77.260000000000005</v>
      </c>
      <c r="L77" s="97">
        <v>-146.87</v>
      </c>
      <c r="M77" s="97">
        <v>0</v>
      </c>
      <c r="N77" s="97">
        <v>0</v>
      </c>
      <c r="O77" s="97">
        <v>50.3</v>
      </c>
      <c r="Q77" s="1" t="str">
        <f>VLOOKUP(A77,Summary!B:B,1,FALSE)</f>
        <v>7078 - Runway News Hob</v>
      </c>
    </row>
    <row r="78" spans="1:17" ht="14.5" x14ac:dyDescent="0.35">
      <c r="A78" s="96" t="s">
        <v>67</v>
      </c>
      <c r="B78" s="97">
        <v>0</v>
      </c>
      <c r="C78" s="97">
        <v>308.88</v>
      </c>
      <c r="D78" s="97">
        <v>-308.88</v>
      </c>
      <c r="E78" s="97">
        <v>0</v>
      </c>
      <c r="F78" s="97">
        <v>354.97</v>
      </c>
      <c r="G78" s="97">
        <v>-313.87</v>
      </c>
      <c r="H78" s="97">
        <v>22.45</v>
      </c>
      <c r="I78" s="97">
        <v>347.09</v>
      </c>
      <c r="J78" s="97">
        <v>-45.05</v>
      </c>
      <c r="K78" s="97">
        <v>43.99</v>
      </c>
      <c r="L78" s="97">
        <v>-76.150000000000006</v>
      </c>
      <c r="M78" s="97">
        <v>0</v>
      </c>
      <c r="N78" s="97">
        <v>0</v>
      </c>
      <c r="O78" s="97">
        <v>-333.43</v>
      </c>
      <c r="Q78" s="1" t="str">
        <f>VLOOKUP(A78,Summary!B:B,1,FALSE)</f>
        <v>7079 - Tasmania &amp; Beyo</v>
      </c>
    </row>
    <row r="79" spans="1:17" ht="14.5" x14ac:dyDescent="0.35">
      <c r="A79" s="96" t="s">
        <v>68</v>
      </c>
      <c r="B79" s="97">
        <v>0</v>
      </c>
      <c r="C79" s="97">
        <v>0</v>
      </c>
      <c r="D79" s="97">
        <v>228.18</v>
      </c>
      <c r="E79" s="97">
        <v>1045.33</v>
      </c>
      <c r="F79" s="97">
        <v>53.71</v>
      </c>
      <c r="G79" s="97">
        <v>85.05</v>
      </c>
      <c r="H79" s="97">
        <v>0</v>
      </c>
      <c r="I79" s="97">
        <v>0</v>
      </c>
      <c r="J79" s="97">
        <v>384.32</v>
      </c>
      <c r="K79" s="97">
        <v>0</v>
      </c>
      <c r="L79" s="97">
        <v>0</v>
      </c>
      <c r="M79" s="97">
        <v>0</v>
      </c>
      <c r="N79" s="97">
        <v>0</v>
      </c>
      <c r="O79" s="97">
        <v>-1796.59</v>
      </c>
      <c r="Q79" s="1" t="str">
        <f>VLOOKUP(A79,Summary!B:B,1,FALSE)</f>
        <v>8006 - AW Alice Spring</v>
      </c>
    </row>
    <row r="80" spans="1:17" ht="14.5" x14ac:dyDescent="0.35">
      <c r="A80" s="96" t="s">
        <v>133</v>
      </c>
      <c r="B80" s="97">
        <v>0</v>
      </c>
      <c r="C80" s="97">
        <v>0</v>
      </c>
      <c r="D80" s="97">
        <v>27.96</v>
      </c>
      <c r="E80" s="97">
        <v>124.71</v>
      </c>
      <c r="F80" s="97">
        <v>8.5</v>
      </c>
      <c r="G80" s="97">
        <v>0</v>
      </c>
      <c r="H80" s="97">
        <v>0</v>
      </c>
      <c r="I80" s="97">
        <v>0</v>
      </c>
      <c r="J80" s="97">
        <v>0</v>
      </c>
      <c r="K80" s="97">
        <v>22.75</v>
      </c>
      <c r="L80" s="97">
        <v>0</v>
      </c>
      <c r="M80" s="97">
        <v>0</v>
      </c>
      <c r="N80" s="97">
        <v>0</v>
      </c>
      <c r="O80" s="97">
        <v>-183.92</v>
      </c>
      <c r="Q80" s="1" t="str">
        <f>VLOOKUP(A80,Summary!B:B,1,FALSE)</f>
        <v>8030 - News Travels AS</v>
      </c>
    </row>
    <row r="81" spans="1:17" ht="14.5" x14ac:dyDescent="0.35">
      <c r="A81" s="96" t="s">
        <v>69</v>
      </c>
      <c r="B81" s="97">
        <v>0</v>
      </c>
      <c r="C81" s="97">
        <v>0</v>
      </c>
      <c r="D81" s="97">
        <v>58.53</v>
      </c>
      <c r="E81" s="97">
        <v>626.33000000000004</v>
      </c>
      <c r="F81" s="97">
        <v>-423.91</v>
      </c>
      <c r="G81" s="97">
        <v>-92.96</v>
      </c>
      <c r="H81" s="97">
        <v>784.31</v>
      </c>
      <c r="I81" s="97">
        <v>-13.03</v>
      </c>
      <c r="J81" s="97">
        <v>-142.35</v>
      </c>
      <c r="K81" s="97">
        <v>39.21</v>
      </c>
      <c r="L81" s="97">
        <v>131.47</v>
      </c>
      <c r="M81" s="97">
        <v>0</v>
      </c>
      <c r="N81" s="97">
        <v>0</v>
      </c>
      <c r="O81" s="97">
        <v>-967.6</v>
      </c>
      <c r="Q81" s="1" t="str">
        <f>VLOOKUP(A81,Summary!B:B,1,FALSE)</f>
        <v>8188 - NT Darwin Dom</v>
      </c>
    </row>
    <row r="82" spans="1:17" ht="14.5" x14ac:dyDescent="0.35">
      <c r="A82" s="96" t="s">
        <v>70</v>
      </c>
      <c r="B82" s="97">
        <v>0</v>
      </c>
      <c r="C82" s="97">
        <v>110.59</v>
      </c>
      <c r="D82" s="97">
        <v>90.98</v>
      </c>
      <c r="E82" s="97">
        <v>-201.57</v>
      </c>
      <c r="F82" s="97">
        <v>0</v>
      </c>
      <c r="G82" s="97">
        <v>0</v>
      </c>
      <c r="H82" s="97">
        <v>0</v>
      </c>
      <c r="I82" s="97">
        <v>0</v>
      </c>
      <c r="J82" s="97">
        <v>296.79000000000002</v>
      </c>
      <c r="K82" s="97">
        <v>-296.79000000000002</v>
      </c>
      <c r="L82" s="97">
        <v>10.74</v>
      </c>
      <c r="M82" s="97">
        <v>0</v>
      </c>
      <c r="N82" s="97">
        <v>0</v>
      </c>
      <c r="O82" s="97">
        <v>-10.74</v>
      </c>
      <c r="Q82" s="1" t="str">
        <f>VLOOKUP(A82,Summary!B:B,1,FALSE)</f>
        <v>8190 - Darwin NT Airsi</v>
      </c>
    </row>
    <row r="83" spans="1:17" ht="14.5" x14ac:dyDescent="0.35">
      <c r="A83" s="96" t="s">
        <v>71</v>
      </c>
      <c r="B83" s="97">
        <v>0</v>
      </c>
      <c r="C83" s="97">
        <v>0</v>
      </c>
      <c r="D83" s="97">
        <v>0</v>
      </c>
      <c r="E83" s="97">
        <v>0</v>
      </c>
      <c r="F83" s="97">
        <v>0</v>
      </c>
      <c r="G83" s="97">
        <v>0</v>
      </c>
      <c r="H83" s="97">
        <v>0</v>
      </c>
      <c r="I83" s="97">
        <v>0</v>
      </c>
      <c r="J83" s="97">
        <v>0</v>
      </c>
      <c r="K83" s="97">
        <v>0</v>
      </c>
      <c r="L83" s="97">
        <v>0</v>
      </c>
      <c r="M83" s="97">
        <v>0</v>
      </c>
      <c r="N83" s="97">
        <v>0</v>
      </c>
      <c r="O83" s="97">
        <v>0</v>
      </c>
      <c r="Q83" s="1" t="str">
        <f>VLOOKUP(A83,Summary!B:B,1,FALSE)</f>
        <v>8196 - Rip Curl Darwin</v>
      </c>
    </row>
    <row r="84" spans="1:17" ht="14.5" x14ac:dyDescent="0.35">
      <c r="A84" s="96" t="s">
        <v>88</v>
      </c>
      <c r="B84" s="97">
        <v>0</v>
      </c>
      <c r="C84" s="97">
        <v>0</v>
      </c>
      <c r="D84" s="97">
        <v>0</v>
      </c>
      <c r="E84" s="97">
        <v>0</v>
      </c>
      <c r="F84" s="97">
        <v>0</v>
      </c>
      <c r="G84" s="97">
        <v>0</v>
      </c>
      <c r="H84" s="97">
        <v>0</v>
      </c>
      <c r="I84" s="97">
        <v>0</v>
      </c>
      <c r="J84" s="97">
        <v>0</v>
      </c>
      <c r="K84" s="97">
        <v>0</v>
      </c>
      <c r="L84" s="97">
        <v>0</v>
      </c>
      <c r="M84" s="97">
        <v>0</v>
      </c>
      <c r="N84" s="97">
        <v>0</v>
      </c>
      <c r="O84" s="97">
        <v>0</v>
      </c>
      <c r="Q84" s="1" t="str">
        <f>VLOOKUP(A84,Summary!B:B,1,FALSE)</f>
        <v>9990 - Head Office</v>
      </c>
    </row>
    <row r="85" spans="1:17" ht="14.5" x14ac:dyDescent="0.35">
      <c r="A85" s="95"/>
      <c r="B85" s="98">
        <v>0</v>
      </c>
      <c r="C85" s="98">
        <v>-3670.68</v>
      </c>
      <c r="D85" s="98">
        <v>11897.720000000001</v>
      </c>
      <c r="E85" s="98">
        <v>11809.269999999999</v>
      </c>
      <c r="F85" s="98">
        <v>12539.199999999999</v>
      </c>
      <c r="G85" s="98">
        <v>26823.150000000009</v>
      </c>
      <c r="H85" s="98">
        <v>15862.190000000002</v>
      </c>
      <c r="I85" s="98">
        <v>-23768.3</v>
      </c>
      <c r="J85" s="98">
        <v>35525.19</v>
      </c>
      <c r="K85" s="98">
        <v>-14734.950000000003</v>
      </c>
      <c r="L85" s="98">
        <v>-46533.710000000006</v>
      </c>
      <c r="M85" s="98">
        <v>4834.49</v>
      </c>
      <c r="N85" s="98">
        <v>-102.82</v>
      </c>
      <c r="O85" s="98">
        <v>-30480.750000000007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3">
    <tabColor theme="7" tint="0.39997558519241921"/>
  </sheetPr>
  <dimension ref="A1:Q71"/>
  <sheetViews>
    <sheetView workbookViewId="0">
      <selection activeCell="B39" sqref="B39"/>
    </sheetView>
  </sheetViews>
  <sheetFormatPr defaultRowHeight="12.5" x14ac:dyDescent="0.25"/>
  <cols>
    <col min="1" max="1" width="23.6328125" bestFit="1" customWidth="1"/>
    <col min="2" max="2" width="12.36328125" bestFit="1" customWidth="1"/>
    <col min="10" max="10" width="10.08984375" customWidth="1"/>
    <col min="11" max="11" width="12.6328125" customWidth="1"/>
    <col min="12" max="12" width="15.6328125" customWidth="1"/>
    <col min="13" max="13" width="18.08984375" customWidth="1"/>
  </cols>
  <sheetData>
    <row r="1" spans="1:17" ht="15.5" x14ac:dyDescent="0.35">
      <c r="A1" s="100" t="s">
        <v>113</v>
      </c>
      <c r="B1" s="100"/>
      <c r="C1" s="100"/>
      <c r="D1" s="100"/>
      <c r="E1" s="100"/>
      <c r="F1" s="83"/>
      <c r="G1" s="83"/>
      <c r="H1" s="83"/>
      <c r="I1" s="83"/>
      <c r="J1" s="83"/>
      <c r="K1" s="83"/>
      <c r="L1" s="83"/>
      <c r="M1" s="83"/>
      <c r="N1" s="83"/>
      <c r="O1" s="83"/>
    </row>
    <row r="2" spans="1:17" ht="14.5" x14ac:dyDescent="0.35">
      <c r="A2" s="72"/>
      <c r="B2" s="73"/>
      <c r="C2" s="73"/>
      <c r="D2" s="73"/>
      <c r="E2" s="73"/>
      <c r="F2" s="73"/>
      <c r="G2" s="73"/>
      <c r="H2" s="73"/>
      <c r="I2" s="73"/>
      <c r="J2" s="73"/>
      <c r="K2" s="73"/>
      <c r="L2" s="73"/>
      <c r="M2" s="73"/>
      <c r="N2" s="73"/>
      <c r="O2" s="73"/>
      <c r="Q2" s="1"/>
    </row>
    <row r="3" spans="1:17" ht="14.5" x14ac:dyDescent="0.35">
      <c r="A3" s="72"/>
      <c r="B3" s="73"/>
      <c r="C3" s="73"/>
      <c r="D3" s="73"/>
      <c r="E3" s="73"/>
      <c r="F3" s="73"/>
      <c r="G3" s="73"/>
      <c r="H3" s="73"/>
      <c r="I3" s="73"/>
      <c r="J3" s="73"/>
      <c r="K3" s="73"/>
      <c r="L3" s="73"/>
      <c r="M3" s="73"/>
      <c r="N3" s="73"/>
      <c r="O3" s="73"/>
      <c r="Q3" s="1"/>
    </row>
    <row r="4" spans="1:17" ht="15.5" x14ac:dyDescent="0.35">
      <c r="A4" s="117" t="s">
        <v>0</v>
      </c>
      <c r="B4" s="117" t="s">
        <v>73</v>
      </c>
      <c r="C4" s="117" t="s">
        <v>74</v>
      </c>
      <c r="D4" s="117" t="s">
        <v>75</v>
      </c>
      <c r="E4" s="117" t="s">
        <v>76</v>
      </c>
      <c r="F4" s="117" t="s">
        <v>77</v>
      </c>
      <c r="G4" s="117" t="s">
        <v>78</v>
      </c>
      <c r="H4" s="117" t="s">
        <v>79</v>
      </c>
      <c r="I4" s="117" t="s">
        <v>80</v>
      </c>
      <c r="J4" s="117" t="s">
        <v>81</v>
      </c>
      <c r="K4" s="117" t="s">
        <v>82</v>
      </c>
      <c r="L4" s="117" t="s">
        <v>83</v>
      </c>
      <c r="M4" s="117" t="s">
        <v>84</v>
      </c>
      <c r="N4" s="94" t="s">
        <v>108</v>
      </c>
      <c r="O4" s="94" t="s">
        <v>109</v>
      </c>
      <c r="Q4" s="1"/>
    </row>
    <row r="5" spans="1:17" ht="14.5" x14ac:dyDescent="0.35">
      <c r="A5" t="s">
        <v>124</v>
      </c>
      <c r="B5" s="1">
        <f>SUM(D5:N5)</f>
        <v>0</v>
      </c>
      <c r="C5" s="1">
        <v>0</v>
      </c>
      <c r="D5" s="1">
        <v>0</v>
      </c>
      <c r="E5" s="1">
        <v>0</v>
      </c>
      <c r="F5" s="1">
        <v>0</v>
      </c>
      <c r="G5" s="1">
        <v>0</v>
      </c>
      <c r="H5" s="1">
        <v>0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92">
        <v>0</v>
      </c>
      <c r="O5" s="92"/>
      <c r="Q5" s="1"/>
    </row>
    <row r="6" spans="1:17" ht="14.5" x14ac:dyDescent="0.35">
      <c r="A6" t="s">
        <v>125</v>
      </c>
      <c r="B6" s="1">
        <f t="shared" ref="B6:B37" si="0">SUM(D6:N6)</f>
        <v>0</v>
      </c>
      <c r="C6" s="1">
        <v>0</v>
      </c>
      <c r="D6" s="1">
        <v>0</v>
      </c>
      <c r="E6" s="1">
        <v>0</v>
      </c>
      <c r="F6" s="1">
        <v>0</v>
      </c>
      <c r="G6" s="1">
        <v>0</v>
      </c>
      <c r="H6" s="1">
        <v>0</v>
      </c>
      <c r="I6" s="1">
        <v>-77.97</v>
      </c>
      <c r="J6" s="1">
        <v>77.97</v>
      </c>
      <c r="K6" s="1">
        <v>0</v>
      </c>
      <c r="L6" s="1">
        <v>0</v>
      </c>
      <c r="M6" s="1">
        <v>0</v>
      </c>
      <c r="N6" s="92">
        <v>0</v>
      </c>
      <c r="O6" s="92"/>
      <c r="Q6" s="1"/>
    </row>
    <row r="7" spans="1:17" ht="14.5" x14ac:dyDescent="0.35">
      <c r="A7" t="s">
        <v>126</v>
      </c>
      <c r="B7" s="1">
        <f t="shared" si="0"/>
        <v>0</v>
      </c>
      <c r="C7" s="1">
        <v>0</v>
      </c>
      <c r="D7" s="1">
        <v>0</v>
      </c>
      <c r="E7" s="1">
        <v>0</v>
      </c>
      <c r="F7" s="1">
        <v>0</v>
      </c>
      <c r="G7" s="1">
        <v>0</v>
      </c>
      <c r="H7" s="1">
        <v>0</v>
      </c>
      <c r="I7" s="1">
        <v>0</v>
      </c>
      <c r="J7" s="1">
        <v>0</v>
      </c>
      <c r="K7" s="1">
        <v>0</v>
      </c>
      <c r="L7" s="1">
        <v>0</v>
      </c>
      <c r="M7" s="1">
        <v>0</v>
      </c>
      <c r="N7" s="92">
        <v>0</v>
      </c>
      <c r="O7" s="92"/>
      <c r="Q7" s="1"/>
    </row>
    <row r="8" spans="1:17" ht="14.5" x14ac:dyDescent="0.35">
      <c r="A8" t="s">
        <v>33</v>
      </c>
      <c r="B8" s="1">
        <f t="shared" si="0"/>
        <v>0</v>
      </c>
      <c r="C8" s="1">
        <v>0</v>
      </c>
      <c r="D8" s="1">
        <v>0</v>
      </c>
      <c r="E8" s="1">
        <v>0</v>
      </c>
      <c r="F8" s="1">
        <v>0</v>
      </c>
      <c r="G8" s="1">
        <v>0</v>
      </c>
      <c r="H8" s="1">
        <v>0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92">
        <v>0</v>
      </c>
      <c r="O8" s="92"/>
      <c r="Q8" s="1"/>
    </row>
    <row r="9" spans="1:17" ht="14.5" x14ac:dyDescent="0.35">
      <c r="A9" t="s">
        <v>142</v>
      </c>
      <c r="B9" s="1">
        <f t="shared" si="0"/>
        <v>0</v>
      </c>
      <c r="C9" s="1">
        <v>0</v>
      </c>
      <c r="D9" s="1">
        <v>0</v>
      </c>
      <c r="E9" s="1">
        <v>0</v>
      </c>
      <c r="F9" s="1">
        <v>0</v>
      </c>
      <c r="G9" s="1">
        <v>0</v>
      </c>
      <c r="H9" s="1">
        <v>0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92">
        <v>0</v>
      </c>
      <c r="O9" s="92"/>
      <c r="Q9" s="1"/>
    </row>
    <row r="10" spans="1:17" ht="14.5" x14ac:dyDescent="0.35">
      <c r="A10" t="s">
        <v>34</v>
      </c>
      <c r="B10" s="1">
        <f t="shared" si="0"/>
        <v>0</v>
      </c>
      <c r="C10" s="1">
        <v>0</v>
      </c>
      <c r="D10" s="1">
        <v>0</v>
      </c>
      <c r="E10" s="1">
        <v>0</v>
      </c>
      <c r="F10" s="1">
        <v>0</v>
      </c>
      <c r="G10" s="1">
        <v>0</v>
      </c>
      <c r="H10" s="1">
        <v>0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92">
        <v>0</v>
      </c>
      <c r="O10" s="92"/>
      <c r="Q10" s="1"/>
    </row>
    <row r="11" spans="1:17" ht="14.5" x14ac:dyDescent="0.35">
      <c r="A11" t="s">
        <v>35</v>
      </c>
      <c r="B11" s="1">
        <f t="shared" si="0"/>
        <v>0</v>
      </c>
      <c r="C11" s="1">
        <v>0</v>
      </c>
      <c r="D11" s="1">
        <v>0</v>
      </c>
      <c r="E11" s="1">
        <v>0</v>
      </c>
      <c r="F11" s="1">
        <v>0</v>
      </c>
      <c r="G11" s="1">
        <v>0</v>
      </c>
      <c r="H11" s="1">
        <v>0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92">
        <v>0</v>
      </c>
      <c r="O11" s="92"/>
      <c r="Q11" s="1"/>
    </row>
    <row r="12" spans="1:17" ht="14.5" x14ac:dyDescent="0.35">
      <c r="A12" t="s">
        <v>87</v>
      </c>
      <c r="B12" s="1">
        <f t="shared" si="0"/>
        <v>0</v>
      </c>
      <c r="C12" s="1">
        <v>0</v>
      </c>
      <c r="D12" s="1">
        <v>0</v>
      </c>
      <c r="E12" s="1">
        <v>0</v>
      </c>
      <c r="F12" s="1">
        <v>0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92">
        <v>0</v>
      </c>
      <c r="O12" s="92"/>
      <c r="Q12" s="1"/>
    </row>
    <row r="13" spans="1:17" ht="14.5" x14ac:dyDescent="0.35">
      <c r="A13" t="s">
        <v>36</v>
      </c>
      <c r="B13" s="1">
        <f t="shared" si="0"/>
        <v>0</v>
      </c>
      <c r="C13" s="1">
        <v>0</v>
      </c>
      <c r="D13" s="1">
        <v>0</v>
      </c>
      <c r="E13" s="1">
        <v>0</v>
      </c>
      <c r="F13" s="1">
        <v>0</v>
      </c>
      <c r="G13" s="1">
        <v>0</v>
      </c>
      <c r="H13" s="1">
        <v>0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92">
        <v>0</v>
      </c>
      <c r="O13" s="92"/>
      <c r="Q13" s="1"/>
    </row>
    <row r="14" spans="1:17" ht="14.5" x14ac:dyDescent="0.35">
      <c r="A14" t="s">
        <v>37</v>
      </c>
      <c r="B14" s="1">
        <f t="shared" si="0"/>
        <v>0</v>
      </c>
      <c r="C14" s="1">
        <v>0</v>
      </c>
      <c r="D14" s="1">
        <v>0</v>
      </c>
      <c r="E14" s="1">
        <v>0</v>
      </c>
      <c r="F14" s="1">
        <v>0</v>
      </c>
      <c r="G14" s="1">
        <v>0</v>
      </c>
      <c r="H14" s="1">
        <v>-3310.61</v>
      </c>
      <c r="I14" s="1">
        <v>3310.61</v>
      </c>
      <c r="J14" s="1">
        <v>0</v>
      </c>
      <c r="K14" s="1">
        <v>0</v>
      </c>
      <c r="L14" s="1">
        <v>0</v>
      </c>
      <c r="M14" s="1">
        <v>0</v>
      </c>
      <c r="N14" s="92">
        <v>0</v>
      </c>
      <c r="O14" s="92"/>
      <c r="Q14" s="1"/>
    </row>
    <row r="15" spans="1:17" ht="14.5" x14ac:dyDescent="0.35">
      <c r="A15" t="s">
        <v>40</v>
      </c>
      <c r="B15" s="1">
        <f t="shared" si="0"/>
        <v>0</v>
      </c>
      <c r="C15" s="1">
        <v>0</v>
      </c>
      <c r="D15" s="1">
        <v>0</v>
      </c>
      <c r="E15" s="1">
        <v>0</v>
      </c>
      <c r="F15" s="1">
        <v>0</v>
      </c>
      <c r="G15" s="1">
        <v>0</v>
      </c>
      <c r="H15" s="1">
        <v>-134.97</v>
      </c>
      <c r="I15" s="1">
        <v>134.97</v>
      </c>
      <c r="J15" s="1">
        <v>0</v>
      </c>
      <c r="K15" s="1">
        <v>0</v>
      </c>
      <c r="L15" s="1">
        <v>0</v>
      </c>
      <c r="M15" s="1">
        <v>0</v>
      </c>
      <c r="N15" s="92">
        <v>0</v>
      </c>
      <c r="O15" s="92"/>
      <c r="Q15" s="1"/>
    </row>
    <row r="16" spans="1:17" ht="14.5" x14ac:dyDescent="0.35">
      <c r="A16" t="s">
        <v>41</v>
      </c>
      <c r="B16" s="1">
        <f t="shared" si="0"/>
        <v>-334.95000000000005</v>
      </c>
      <c r="C16" s="1">
        <v>0</v>
      </c>
      <c r="D16" s="1">
        <v>0</v>
      </c>
      <c r="E16" s="1">
        <v>0</v>
      </c>
      <c r="F16" s="1">
        <v>0</v>
      </c>
      <c r="G16" s="1">
        <v>0</v>
      </c>
      <c r="H16" s="1">
        <v>-407.86</v>
      </c>
      <c r="I16" s="1">
        <v>409.21</v>
      </c>
      <c r="J16" s="1">
        <v>-1.35</v>
      </c>
      <c r="K16" s="1">
        <v>0</v>
      </c>
      <c r="L16" s="1">
        <v>0</v>
      </c>
      <c r="M16" s="1">
        <v>0</v>
      </c>
      <c r="N16" s="92">
        <v>-334.95</v>
      </c>
      <c r="O16" s="92"/>
      <c r="Q16" s="1"/>
    </row>
    <row r="17" spans="1:17" ht="14.5" x14ac:dyDescent="0.35">
      <c r="A17" t="s">
        <v>136</v>
      </c>
      <c r="B17" s="1">
        <f t="shared" si="0"/>
        <v>0</v>
      </c>
      <c r="C17" s="1">
        <v>0</v>
      </c>
      <c r="D17" s="1">
        <v>0</v>
      </c>
      <c r="E17" s="1">
        <v>0</v>
      </c>
      <c r="F17" s="1">
        <v>0</v>
      </c>
      <c r="G17" s="1">
        <v>0</v>
      </c>
      <c r="H17" s="1">
        <v>0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 s="92">
        <v>0</v>
      </c>
      <c r="O17" s="92"/>
      <c r="Q17" s="1"/>
    </row>
    <row r="18" spans="1:17" ht="14.5" x14ac:dyDescent="0.35">
      <c r="A18" t="s">
        <v>47</v>
      </c>
      <c r="B18" s="1">
        <f t="shared" si="0"/>
        <v>31.08</v>
      </c>
      <c r="C18" s="1">
        <v>0</v>
      </c>
      <c r="D18" s="1">
        <v>0</v>
      </c>
      <c r="E18" s="1">
        <v>0</v>
      </c>
      <c r="F18" s="1">
        <v>0</v>
      </c>
      <c r="G18" s="1">
        <v>0</v>
      </c>
      <c r="H18" s="1">
        <v>0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92">
        <v>31.08</v>
      </c>
      <c r="O18" s="92"/>
      <c r="Q18" s="1"/>
    </row>
    <row r="19" spans="1:17" ht="14.5" x14ac:dyDescent="0.35">
      <c r="A19" t="s">
        <v>127</v>
      </c>
      <c r="B19" s="1">
        <f t="shared" si="0"/>
        <v>-119.11</v>
      </c>
      <c r="C19" s="1">
        <v>0</v>
      </c>
      <c r="D19" s="1">
        <v>0</v>
      </c>
      <c r="E19" s="1">
        <v>0</v>
      </c>
      <c r="F19" s="1">
        <v>-4337.54</v>
      </c>
      <c r="G19" s="1">
        <v>4337.54</v>
      </c>
      <c r="H19" s="1">
        <v>0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92">
        <v>-119.11</v>
      </c>
      <c r="O19" s="92"/>
      <c r="Q19" s="1"/>
    </row>
    <row r="20" spans="1:17" ht="14.5" x14ac:dyDescent="0.35">
      <c r="A20" t="s">
        <v>128</v>
      </c>
      <c r="B20" s="1">
        <f t="shared" si="0"/>
        <v>-40.69</v>
      </c>
      <c r="C20" s="1">
        <v>0</v>
      </c>
      <c r="D20" s="1">
        <v>0</v>
      </c>
      <c r="E20" s="1">
        <v>0</v>
      </c>
      <c r="F20" s="1">
        <v>0</v>
      </c>
      <c r="G20" s="1">
        <v>0</v>
      </c>
      <c r="H20" s="1">
        <v>0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92">
        <v>-40.69</v>
      </c>
      <c r="O20" s="92"/>
      <c r="Q20" s="1"/>
    </row>
    <row r="21" spans="1:17" ht="14.5" x14ac:dyDescent="0.35">
      <c r="A21" t="s">
        <v>130</v>
      </c>
      <c r="B21" s="1">
        <f t="shared" si="0"/>
        <v>0</v>
      </c>
      <c r="C21" s="1">
        <v>0</v>
      </c>
      <c r="D21" s="1">
        <v>0</v>
      </c>
      <c r="E21" s="1">
        <v>0</v>
      </c>
      <c r="F21" s="1">
        <v>0</v>
      </c>
      <c r="G21" s="1">
        <v>0</v>
      </c>
      <c r="H21" s="1">
        <v>0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92">
        <v>0</v>
      </c>
      <c r="O21" s="92"/>
      <c r="Q21" s="1"/>
    </row>
    <row r="22" spans="1:17" ht="14.5" x14ac:dyDescent="0.35">
      <c r="A22" t="s">
        <v>131</v>
      </c>
      <c r="B22" s="1">
        <f t="shared" si="0"/>
        <v>222.22000000000008</v>
      </c>
      <c r="C22" s="1">
        <v>0</v>
      </c>
      <c r="D22" s="1">
        <v>0</v>
      </c>
      <c r="E22" s="1">
        <v>0</v>
      </c>
      <c r="F22" s="1">
        <v>0</v>
      </c>
      <c r="G22" s="1">
        <v>0</v>
      </c>
      <c r="H22" s="1">
        <v>0.09</v>
      </c>
      <c r="I22" s="1">
        <v>551.33000000000004</v>
      </c>
      <c r="J22" s="1">
        <v>-89.38</v>
      </c>
      <c r="K22" s="1">
        <v>-126.83</v>
      </c>
      <c r="L22" s="1">
        <v>169.37</v>
      </c>
      <c r="M22" s="1">
        <v>-55.11</v>
      </c>
      <c r="N22" s="92">
        <v>-227.25</v>
      </c>
      <c r="O22" s="92"/>
      <c r="Q22" s="1"/>
    </row>
    <row r="23" spans="1:17" ht="14.5" x14ac:dyDescent="0.35">
      <c r="A23" t="s">
        <v>137</v>
      </c>
      <c r="B23" s="1">
        <f t="shared" si="0"/>
        <v>-70.989999999999995</v>
      </c>
      <c r="C23" s="1">
        <v>0</v>
      </c>
      <c r="D23" s="1">
        <v>0</v>
      </c>
      <c r="E23" s="1">
        <v>0</v>
      </c>
      <c r="F23" s="1">
        <v>0</v>
      </c>
      <c r="G23" s="1">
        <v>0</v>
      </c>
      <c r="H23" s="1">
        <v>0</v>
      </c>
      <c r="I23" s="1">
        <v>-10881.24</v>
      </c>
      <c r="J23" s="1">
        <v>10881.24</v>
      </c>
      <c r="K23" s="1">
        <v>0</v>
      </c>
      <c r="L23" s="1">
        <v>0</v>
      </c>
      <c r="M23" s="1">
        <v>0</v>
      </c>
      <c r="N23" s="92">
        <v>-70.989999999999995</v>
      </c>
      <c r="O23" s="92"/>
      <c r="Q23" s="1"/>
    </row>
    <row r="24" spans="1:17" ht="14.5" x14ac:dyDescent="0.35">
      <c r="A24" t="s">
        <v>139</v>
      </c>
      <c r="B24" s="1">
        <f t="shared" si="0"/>
        <v>0</v>
      </c>
      <c r="C24" s="1">
        <v>0</v>
      </c>
      <c r="D24" s="1">
        <v>0</v>
      </c>
      <c r="E24" s="1">
        <v>0</v>
      </c>
      <c r="F24" s="1">
        <v>0</v>
      </c>
      <c r="G24" s="1">
        <v>0</v>
      </c>
      <c r="H24" s="1">
        <v>0</v>
      </c>
      <c r="I24" s="1">
        <v>0</v>
      </c>
      <c r="J24" s="1">
        <v>0</v>
      </c>
      <c r="K24" s="1">
        <v>0</v>
      </c>
      <c r="L24" s="1">
        <v>0</v>
      </c>
      <c r="M24" s="1">
        <v>0</v>
      </c>
      <c r="N24" s="92">
        <v>0</v>
      </c>
      <c r="O24" s="92"/>
      <c r="Q24" s="1"/>
    </row>
    <row r="25" spans="1:17" ht="14.5" x14ac:dyDescent="0.35">
      <c r="A25" t="s">
        <v>132</v>
      </c>
      <c r="B25" s="1">
        <f t="shared" si="0"/>
        <v>0</v>
      </c>
      <c r="C25" s="1">
        <v>0</v>
      </c>
      <c r="D25" s="1">
        <v>0</v>
      </c>
      <c r="E25" s="1">
        <v>0</v>
      </c>
      <c r="F25" s="1">
        <v>0</v>
      </c>
      <c r="G25" s="1">
        <v>0</v>
      </c>
      <c r="H25" s="1">
        <v>0</v>
      </c>
      <c r="I25" s="1">
        <v>0</v>
      </c>
      <c r="J25" s="1">
        <v>0</v>
      </c>
      <c r="K25" s="1">
        <v>0</v>
      </c>
      <c r="L25" s="1">
        <v>0</v>
      </c>
      <c r="M25" s="1">
        <v>0</v>
      </c>
      <c r="N25" s="92">
        <v>0</v>
      </c>
      <c r="O25" s="92"/>
      <c r="Q25" s="1"/>
    </row>
    <row r="26" spans="1:17" ht="14.5" x14ac:dyDescent="0.35">
      <c r="A26" t="s">
        <v>134</v>
      </c>
      <c r="B26" s="1">
        <f t="shared" si="0"/>
        <v>0</v>
      </c>
      <c r="C26" s="1">
        <v>0</v>
      </c>
      <c r="D26" s="1">
        <v>0</v>
      </c>
      <c r="E26" s="1">
        <v>0</v>
      </c>
      <c r="F26" s="1">
        <v>0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92">
        <v>0</v>
      </c>
      <c r="O26" s="92"/>
      <c r="Q26" s="1"/>
    </row>
    <row r="27" spans="1:17" ht="14.5" x14ac:dyDescent="0.35">
      <c r="A27" t="s">
        <v>56</v>
      </c>
      <c r="B27" s="1">
        <f t="shared" si="0"/>
        <v>0</v>
      </c>
      <c r="C27" s="1">
        <v>0</v>
      </c>
      <c r="D27" s="1">
        <v>0</v>
      </c>
      <c r="E27" s="1">
        <v>0</v>
      </c>
      <c r="F27" s="1">
        <v>0</v>
      </c>
      <c r="G27" s="1">
        <v>0</v>
      </c>
      <c r="H27" s="1">
        <v>0</v>
      </c>
      <c r="I27" s="1">
        <v>0</v>
      </c>
      <c r="J27" s="1">
        <v>0</v>
      </c>
      <c r="K27" s="1">
        <v>0</v>
      </c>
      <c r="L27" s="1">
        <v>0</v>
      </c>
      <c r="M27" s="1">
        <v>0</v>
      </c>
      <c r="N27" s="92">
        <v>0</v>
      </c>
      <c r="O27" s="92"/>
      <c r="Q27" s="1"/>
    </row>
    <row r="28" spans="1:17" ht="14.5" x14ac:dyDescent="0.35">
      <c r="A28" t="s">
        <v>58</v>
      </c>
      <c r="B28" s="1">
        <f t="shared" si="0"/>
        <v>0</v>
      </c>
      <c r="C28" s="1">
        <v>0</v>
      </c>
      <c r="D28" s="1">
        <v>0</v>
      </c>
      <c r="E28" s="1">
        <v>0</v>
      </c>
      <c r="F28" s="1">
        <v>0</v>
      </c>
      <c r="G28" s="1">
        <v>0</v>
      </c>
      <c r="H28" s="1">
        <v>0</v>
      </c>
      <c r="I28" s="1">
        <v>55.91</v>
      </c>
      <c r="J28" s="1">
        <v>5.38</v>
      </c>
      <c r="K28" s="1">
        <v>-61.29</v>
      </c>
      <c r="L28" s="1">
        <v>0</v>
      </c>
      <c r="M28" s="1">
        <v>0</v>
      </c>
      <c r="N28" s="92">
        <v>0</v>
      </c>
      <c r="O28" s="92"/>
      <c r="Q28" s="1"/>
    </row>
    <row r="29" spans="1:17" ht="14.5" x14ac:dyDescent="0.35">
      <c r="A29" t="s">
        <v>59</v>
      </c>
      <c r="B29" s="1">
        <f t="shared" si="0"/>
        <v>0</v>
      </c>
      <c r="C29" s="1">
        <v>0</v>
      </c>
      <c r="D29" s="1">
        <v>0</v>
      </c>
      <c r="E29" s="1">
        <v>0</v>
      </c>
      <c r="F29" s="1">
        <v>0</v>
      </c>
      <c r="G29" s="1">
        <v>0</v>
      </c>
      <c r="H29" s="1">
        <v>0</v>
      </c>
      <c r="I29" s="1">
        <v>280.77</v>
      </c>
      <c r="J29" s="1">
        <v>-280.77</v>
      </c>
      <c r="K29" s="1">
        <v>0</v>
      </c>
      <c r="L29" s="1">
        <v>0</v>
      </c>
      <c r="M29" s="1">
        <v>0</v>
      </c>
      <c r="N29" s="92">
        <v>0</v>
      </c>
      <c r="O29" s="92"/>
      <c r="Q29" s="1"/>
    </row>
    <row r="30" spans="1:17" ht="14.5" x14ac:dyDescent="0.35">
      <c r="A30" t="s">
        <v>63</v>
      </c>
      <c r="B30" s="1">
        <f t="shared" si="0"/>
        <v>0</v>
      </c>
      <c r="C30" s="1">
        <v>0</v>
      </c>
      <c r="D30" s="1">
        <v>0</v>
      </c>
      <c r="E30" s="1">
        <v>-995.76</v>
      </c>
      <c r="F30" s="1">
        <v>995.76</v>
      </c>
      <c r="G30" s="1">
        <v>842.3</v>
      </c>
      <c r="H30" s="1">
        <v>-842.3</v>
      </c>
      <c r="I30" s="1">
        <v>292.38</v>
      </c>
      <c r="J30" s="1">
        <v>-292.38</v>
      </c>
      <c r="K30" s="1">
        <v>-39.979999999999997</v>
      </c>
      <c r="L30" s="1">
        <v>39.979999999999997</v>
      </c>
      <c r="M30" s="1">
        <v>0</v>
      </c>
      <c r="N30" s="92">
        <v>0</v>
      </c>
      <c r="O30" s="92"/>
      <c r="Q30" s="1"/>
    </row>
    <row r="31" spans="1:17" ht="14.5" x14ac:dyDescent="0.35">
      <c r="A31" t="s">
        <v>138</v>
      </c>
      <c r="B31" s="1">
        <f t="shared" si="0"/>
        <v>443.84999999999991</v>
      </c>
      <c r="C31" s="1">
        <v>0</v>
      </c>
      <c r="D31" s="1">
        <v>0</v>
      </c>
      <c r="E31" s="1">
        <v>0</v>
      </c>
      <c r="F31" s="1">
        <v>0</v>
      </c>
      <c r="G31" s="1">
        <v>0</v>
      </c>
      <c r="H31" s="1">
        <v>0</v>
      </c>
      <c r="I31" s="1">
        <v>0</v>
      </c>
      <c r="J31" s="1">
        <v>0</v>
      </c>
      <c r="K31" s="1">
        <v>-8438.75</v>
      </c>
      <c r="L31" s="1">
        <v>9557.66</v>
      </c>
      <c r="M31" s="1">
        <v>-130.88</v>
      </c>
      <c r="N31" s="92">
        <v>-544.17999999999995</v>
      </c>
      <c r="O31" s="92"/>
      <c r="Q31" s="1"/>
    </row>
    <row r="32" spans="1:17" ht="14.5" x14ac:dyDescent="0.35">
      <c r="A32" t="s">
        <v>65</v>
      </c>
      <c r="B32" s="1">
        <f t="shared" si="0"/>
        <v>0</v>
      </c>
      <c r="C32" s="1">
        <v>0</v>
      </c>
      <c r="D32" s="1">
        <v>0</v>
      </c>
      <c r="E32" s="1">
        <v>0</v>
      </c>
      <c r="F32" s="1">
        <v>0</v>
      </c>
      <c r="G32" s="1">
        <v>0</v>
      </c>
      <c r="H32" s="1">
        <v>0</v>
      </c>
      <c r="I32" s="1">
        <v>0</v>
      </c>
      <c r="J32" s="1">
        <v>0</v>
      </c>
      <c r="K32" s="1">
        <v>0</v>
      </c>
      <c r="L32" s="1">
        <v>0</v>
      </c>
      <c r="M32" s="1">
        <v>0</v>
      </c>
      <c r="N32" s="92">
        <v>0</v>
      </c>
      <c r="O32" s="92"/>
      <c r="Q32" s="1"/>
    </row>
    <row r="33" spans="1:17" ht="14.5" x14ac:dyDescent="0.35">
      <c r="A33" t="s">
        <v>66</v>
      </c>
      <c r="B33" s="1">
        <f t="shared" si="0"/>
        <v>-5.9999999999997726</v>
      </c>
      <c r="C33" s="1">
        <v>0</v>
      </c>
      <c r="D33" s="1">
        <v>0</v>
      </c>
      <c r="E33" s="1">
        <v>0</v>
      </c>
      <c r="F33" s="1">
        <v>0</v>
      </c>
      <c r="G33" s="1">
        <v>0</v>
      </c>
      <c r="H33" s="1">
        <v>0</v>
      </c>
      <c r="I33" s="1">
        <v>53.44</v>
      </c>
      <c r="J33" s="1">
        <v>-1744.57</v>
      </c>
      <c r="K33" s="1">
        <v>1691.13</v>
      </c>
      <c r="L33" s="1">
        <v>0</v>
      </c>
      <c r="M33" s="1">
        <v>132.13</v>
      </c>
      <c r="N33" s="92">
        <v>-138.13</v>
      </c>
      <c r="O33" s="92"/>
      <c r="Q33" s="1"/>
    </row>
    <row r="34" spans="1:17" ht="14.5" x14ac:dyDescent="0.35">
      <c r="A34" t="s">
        <v>67</v>
      </c>
      <c r="B34" s="1">
        <f t="shared" si="0"/>
        <v>0</v>
      </c>
      <c r="C34" s="1">
        <v>0</v>
      </c>
      <c r="D34" s="1">
        <v>0</v>
      </c>
      <c r="E34" s="1">
        <v>0</v>
      </c>
      <c r="F34" s="1">
        <v>0</v>
      </c>
      <c r="G34" s="1">
        <v>0</v>
      </c>
      <c r="H34" s="1">
        <v>0</v>
      </c>
      <c r="I34" s="1">
        <v>66.98</v>
      </c>
      <c r="J34" s="1">
        <v>3.02</v>
      </c>
      <c r="K34" s="1">
        <v>-70</v>
      </c>
      <c r="L34" s="1">
        <v>0</v>
      </c>
      <c r="M34" s="1">
        <v>0</v>
      </c>
      <c r="N34" s="92">
        <v>0</v>
      </c>
      <c r="O34" s="92"/>
      <c r="Q34" s="1"/>
    </row>
    <row r="35" spans="1:17" ht="14.5" x14ac:dyDescent="0.35">
      <c r="A35" t="s">
        <v>133</v>
      </c>
      <c r="B35" s="1">
        <f t="shared" si="0"/>
        <v>0</v>
      </c>
      <c r="C35" s="1">
        <v>0</v>
      </c>
      <c r="D35" s="1">
        <v>0</v>
      </c>
      <c r="E35" s="1">
        <v>0</v>
      </c>
      <c r="F35" s="1">
        <v>0</v>
      </c>
      <c r="G35" s="1">
        <v>0</v>
      </c>
      <c r="H35" s="1">
        <v>0</v>
      </c>
      <c r="I35" s="1">
        <v>0</v>
      </c>
      <c r="J35" s="1">
        <v>0</v>
      </c>
      <c r="K35" s="1">
        <v>0</v>
      </c>
      <c r="L35" s="1">
        <v>0</v>
      </c>
      <c r="M35" s="1">
        <v>0</v>
      </c>
      <c r="N35" s="92">
        <v>0</v>
      </c>
      <c r="O35" s="92"/>
      <c r="Q35" s="1"/>
    </row>
    <row r="36" spans="1:17" ht="14.5" x14ac:dyDescent="0.35">
      <c r="A36" t="s">
        <v>69</v>
      </c>
      <c r="B36" s="1">
        <f t="shared" si="0"/>
        <v>-13873.29</v>
      </c>
      <c r="C36" s="1">
        <v>0</v>
      </c>
      <c r="D36" s="1">
        <v>0</v>
      </c>
      <c r="E36" s="1">
        <v>0</v>
      </c>
      <c r="F36" s="1">
        <v>0</v>
      </c>
      <c r="G36" s="1">
        <v>0</v>
      </c>
      <c r="H36" s="1">
        <v>0</v>
      </c>
      <c r="I36" s="1">
        <v>0</v>
      </c>
      <c r="J36" s="1">
        <v>-307.32</v>
      </c>
      <c r="K36" s="1">
        <v>313.52</v>
      </c>
      <c r="L36" s="1">
        <v>8.2899999999999991</v>
      </c>
      <c r="M36" s="1">
        <v>-14.49</v>
      </c>
      <c r="N36" s="92">
        <v>-13873.29</v>
      </c>
      <c r="O36" s="92"/>
      <c r="Q36" s="1"/>
    </row>
    <row r="37" spans="1:17" ht="14.5" x14ac:dyDescent="0.35">
      <c r="A37" t="s">
        <v>88</v>
      </c>
      <c r="B37" s="1">
        <f t="shared" si="0"/>
        <v>-44.96</v>
      </c>
      <c r="C37" s="1">
        <v>0</v>
      </c>
      <c r="D37" s="1">
        <v>0</v>
      </c>
      <c r="E37" s="1">
        <v>0</v>
      </c>
      <c r="F37" s="1">
        <v>0</v>
      </c>
      <c r="G37" s="1">
        <v>0</v>
      </c>
      <c r="H37" s="1">
        <v>0</v>
      </c>
      <c r="I37" s="1">
        <v>0</v>
      </c>
      <c r="J37" s="1">
        <v>0</v>
      </c>
      <c r="K37" s="1">
        <v>0</v>
      </c>
      <c r="L37" s="1">
        <v>0</v>
      </c>
      <c r="M37" s="1">
        <v>0</v>
      </c>
      <c r="N37" s="92">
        <v>-44.96</v>
      </c>
      <c r="O37" s="92"/>
      <c r="Q37" s="1"/>
    </row>
    <row r="38" spans="1:17" ht="14.5" x14ac:dyDescent="0.35">
      <c r="B38" s="123">
        <f>SUM(B5:B37)</f>
        <v>-13792.84</v>
      </c>
      <c r="C38" s="118">
        <v>0</v>
      </c>
      <c r="D38" s="118">
        <v>0</v>
      </c>
      <c r="E38" s="118">
        <v>-995.76</v>
      </c>
      <c r="F38" s="118">
        <v>-3341.7799999999997</v>
      </c>
      <c r="G38" s="118">
        <v>5179.84</v>
      </c>
      <c r="H38" s="118">
        <v>-4695.6499999999996</v>
      </c>
      <c r="I38" s="118">
        <v>-5803.6100000000006</v>
      </c>
      <c r="J38" s="118">
        <v>8251.84</v>
      </c>
      <c r="K38" s="118">
        <v>-6732.2000000000007</v>
      </c>
      <c r="L38" s="118">
        <v>9775.3000000000011</v>
      </c>
      <c r="M38" s="118">
        <v>-68.350000000000009</v>
      </c>
      <c r="N38" s="92">
        <v>-15362.470000000001</v>
      </c>
      <c r="O38" s="92"/>
      <c r="Q38" s="1"/>
    </row>
    <row r="39" spans="1:17" ht="14.5" x14ac:dyDescent="0.35">
      <c r="A39" s="91"/>
      <c r="B39" s="92"/>
      <c r="C39" s="92"/>
      <c r="D39" s="92">
        <f>0+D37</f>
        <v>0</v>
      </c>
      <c r="E39" s="92">
        <f>D39+E38</f>
        <v>-995.76</v>
      </c>
      <c r="F39" s="92">
        <f t="shared" ref="F39:N39" si="1">E39+F38</f>
        <v>-4337.54</v>
      </c>
      <c r="G39" s="92">
        <f t="shared" si="1"/>
        <v>842.30000000000018</v>
      </c>
      <c r="H39" s="92">
        <f t="shared" si="1"/>
        <v>-3853.3499999999995</v>
      </c>
      <c r="I39" s="92">
        <f t="shared" si="1"/>
        <v>-9656.9599999999991</v>
      </c>
      <c r="J39" s="92">
        <f t="shared" si="1"/>
        <v>-1405.119999999999</v>
      </c>
      <c r="K39" s="92">
        <f t="shared" si="1"/>
        <v>-8137.32</v>
      </c>
      <c r="L39" s="92">
        <f t="shared" si="1"/>
        <v>1637.9800000000014</v>
      </c>
      <c r="M39" s="92">
        <f t="shared" si="1"/>
        <v>1569.6300000000015</v>
      </c>
      <c r="N39" s="92">
        <f t="shared" si="1"/>
        <v>-13792.84</v>
      </c>
      <c r="O39" s="92"/>
      <c r="Q39" s="1"/>
    </row>
    <row r="40" spans="1:17" ht="14.5" x14ac:dyDescent="0.35">
      <c r="A40" s="91"/>
      <c r="B40" s="92"/>
      <c r="C40" s="92"/>
      <c r="D40" s="92"/>
      <c r="E40" s="92"/>
      <c r="F40" s="92"/>
      <c r="G40" s="92"/>
      <c r="H40" s="92"/>
      <c r="I40" s="92"/>
      <c r="J40" s="92"/>
      <c r="K40" s="92"/>
      <c r="L40" s="92"/>
      <c r="M40" s="92"/>
      <c r="N40" s="92"/>
      <c r="O40" s="92"/>
      <c r="Q40" s="1"/>
    </row>
    <row r="41" spans="1:17" ht="14.5" x14ac:dyDescent="0.35">
      <c r="A41" s="91"/>
      <c r="B41" s="92"/>
      <c r="C41" s="92"/>
      <c r="D41" s="92"/>
      <c r="E41" s="92"/>
      <c r="F41" s="92"/>
      <c r="G41" s="92"/>
      <c r="H41" s="92"/>
      <c r="I41" s="92"/>
      <c r="J41" s="92"/>
      <c r="K41" s="92"/>
      <c r="L41" s="92"/>
      <c r="M41" s="92"/>
      <c r="N41" s="92"/>
      <c r="O41" s="92"/>
      <c r="Q41" s="1"/>
    </row>
    <row r="42" spans="1:17" ht="14.5" x14ac:dyDescent="0.35">
      <c r="A42" s="91"/>
      <c r="B42" s="92"/>
      <c r="C42" s="92"/>
      <c r="D42" s="92"/>
      <c r="E42" s="92"/>
      <c r="F42" s="92"/>
      <c r="G42" s="92"/>
      <c r="H42" s="92"/>
      <c r="I42" s="92"/>
      <c r="J42" s="92"/>
      <c r="K42" s="92"/>
      <c r="L42" s="92"/>
      <c r="M42" s="92"/>
      <c r="N42" s="92"/>
      <c r="O42" s="92"/>
      <c r="Q42" s="1"/>
    </row>
    <row r="43" spans="1:17" ht="14.5" x14ac:dyDescent="0.35">
      <c r="A43" s="91"/>
      <c r="B43" s="92"/>
      <c r="C43" s="92"/>
      <c r="D43" s="92"/>
      <c r="E43" s="92"/>
      <c r="F43" s="92"/>
      <c r="G43" s="92"/>
      <c r="H43" s="92"/>
      <c r="I43" s="92"/>
      <c r="J43" s="92"/>
      <c r="K43" s="92"/>
      <c r="L43" s="92"/>
      <c r="M43" s="92"/>
      <c r="N43" s="92"/>
      <c r="O43" s="92"/>
      <c r="Q43" s="1"/>
    </row>
    <row r="44" spans="1:17" ht="14.5" x14ac:dyDescent="0.35">
      <c r="A44" s="91"/>
      <c r="B44" s="92"/>
      <c r="C44" s="92"/>
      <c r="D44" s="92"/>
      <c r="E44" s="92"/>
      <c r="F44" s="92"/>
      <c r="G44" s="92"/>
      <c r="H44" s="92"/>
      <c r="I44" s="92"/>
      <c r="J44" s="92"/>
      <c r="K44" s="92"/>
      <c r="L44" s="92"/>
      <c r="M44" s="92"/>
      <c r="N44" s="92"/>
      <c r="O44" s="92"/>
      <c r="Q44" s="1"/>
    </row>
    <row r="45" spans="1:17" ht="14.5" x14ac:dyDescent="0.35">
      <c r="A45" s="91"/>
      <c r="B45" s="92"/>
      <c r="C45" s="92"/>
      <c r="D45" s="92"/>
      <c r="E45" s="92"/>
      <c r="F45" s="92"/>
      <c r="G45" s="92"/>
      <c r="H45" s="92"/>
      <c r="I45" s="92"/>
      <c r="J45" s="92"/>
      <c r="K45" s="92"/>
      <c r="L45" s="92"/>
      <c r="M45" s="92"/>
      <c r="N45" s="92"/>
      <c r="O45" s="92"/>
      <c r="Q45" s="1"/>
    </row>
    <row r="46" spans="1:17" ht="14.5" x14ac:dyDescent="0.35">
      <c r="A46" s="91"/>
      <c r="B46" s="92"/>
      <c r="C46" s="92"/>
      <c r="D46" s="92"/>
      <c r="E46" s="92"/>
      <c r="F46" s="92"/>
      <c r="G46" s="92"/>
      <c r="H46" s="92"/>
      <c r="I46" s="92"/>
      <c r="J46" s="92"/>
      <c r="K46" s="92"/>
      <c r="L46" s="92"/>
      <c r="M46" s="92"/>
      <c r="N46" s="92"/>
      <c r="O46" s="92"/>
      <c r="Q46" s="1"/>
    </row>
    <row r="47" spans="1:17" ht="14.5" x14ac:dyDescent="0.35">
      <c r="A47" s="91"/>
      <c r="B47" s="92"/>
      <c r="C47" s="92"/>
      <c r="D47" s="92"/>
      <c r="E47" s="92"/>
      <c r="F47" s="92"/>
      <c r="G47" s="92"/>
      <c r="H47" s="92"/>
      <c r="I47" s="92"/>
      <c r="J47" s="92"/>
      <c r="K47" s="92"/>
      <c r="L47" s="92"/>
      <c r="M47" s="92"/>
      <c r="N47" s="92"/>
      <c r="O47" s="92"/>
      <c r="Q47" s="1"/>
    </row>
    <row r="48" spans="1:17" ht="14.5" x14ac:dyDescent="0.35">
      <c r="A48" s="91"/>
      <c r="B48" s="92"/>
      <c r="C48" s="92"/>
      <c r="D48" s="92"/>
      <c r="E48" s="92"/>
      <c r="F48" s="92"/>
      <c r="G48" s="92"/>
      <c r="H48" s="92"/>
      <c r="I48" s="92"/>
      <c r="J48" s="92"/>
      <c r="K48" s="92"/>
      <c r="L48" s="92"/>
      <c r="M48" s="92"/>
      <c r="N48" s="92"/>
      <c r="O48" s="92"/>
      <c r="Q48" s="1"/>
    </row>
    <row r="49" spans="1:17" ht="14.5" x14ac:dyDescent="0.35">
      <c r="A49" s="91"/>
      <c r="B49" s="92"/>
      <c r="C49" s="92"/>
      <c r="D49" s="92"/>
      <c r="E49" s="92"/>
      <c r="F49" s="92"/>
      <c r="G49" s="92"/>
      <c r="H49" s="92"/>
      <c r="I49" s="92"/>
      <c r="J49" s="92"/>
      <c r="K49" s="92"/>
      <c r="L49" s="92"/>
      <c r="M49" s="92"/>
      <c r="N49" s="92"/>
      <c r="O49" s="92"/>
      <c r="Q49" s="1"/>
    </row>
    <row r="50" spans="1:17" ht="14.5" x14ac:dyDescent="0.35">
      <c r="A50" s="91"/>
      <c r="B50" s="92"/>
      <c r="C50" s="92"/>
      <c r="D50" s="92"/>
      <c r="E50" s="92"/>
      <c r="F50" s="92"/>
      <c r="G50" s="92"/>
      <c r="H50" s="92"/>
      <c r="I50" s="92"/>
      <c r="J50" s="92"/>
      <c r="K50" s="92"/>
      <c r="L50" s="92"/>
      <c r="M50" s="92"/>
      <c r="N50" s="92"/>
      <c r="O50" s="92"/>
      <c r="Q50" s="1"/>
    </row>
    <row r="51" spans="1:17" ht="14.5" x14ac:dyDescent="0.35">
      <c r="A51" s="91"/>
      <c r="B51" s="92"/>
      <c r="C51" s="92"/>
      <c r="D51" s="92"/>
      <c r="E51" s="92"/>
      <c r="F51" s="92"/>
      <c r="G51" s="92"/>
      <c r="H51" s="92"/>
      <c r="I51" s="92"/>
      <c r="J51" s="92"/>
      <c r="K51" s="92"/>
      <c r="L51" s="92"/>
      <c r="M51" s="92"/>
      <c r="N51" s="92"/>
      <c r="O51" s="92"/>
      <c r="Q51" s="1"/>
    </row>
    <row r="52" spans="1:17" ht="14.5" x14ac:dyDescent="0.35">
      <c r="A52" s="91"/>
      <c r="B52" s="92"/>
      <c r="C52" s="92"/>
      <c r="D52" s="92"/>
      <c r="E52" s="92"/>
      <c r="F52" s="92"/>
      <c r="G52" s="92"/>
      <c r="H52" s="92"/>
      <c r="I52" s="92"/>
      <c r="J52" s="92"/>
      <c r="K52" s="92"/>
      <c r="L52" s="92"/>
      <c r="M52" s="92"/>
      <c r="N52" s="92"/>
      <c r="O52" s="92"/>
      <c r="Q52" s="1"/>
    </row>
    <row r="53" spans="1:17" ht="14.5" x14ac:dyDescent="0.35">
      <c r="A53" s="91"/>
      <c r="B53" s="92"/>
      <c r="C53" s="92"/>
      <c r="D53" s="92"/>
      <c r="E53" s="92"/>
      <c r="F53" s="92"/>
      <c r="G53" s="92"/>
      <c r="H53" s="92"/>
      <c r="I53" s="92"/>
      <c r="J53" s="92"/>
      <c r="K53" s="92"/>
      <c r="L53" s="92"/>
      <c r="M53" s="92"/>
      <c r="N53" s="92"/>
      <c r="O53" s="92"/>
      <c r="Q53" s="1"/>
    </row>
    <row r="54" spans="1:17" ht="14.5" x14ac:dyDescent="0.35">
      <c r="A54" s="91"/>
      <c r="B54" s="92"/>
      <c r="C54" s="92"/>
      <c r="D54" s="92"/>
      <c r="E54" s="92"/>
      <c r="F54" s="92"/>
      <c r="G54" s="92"/>
      <c r="H54" s="92"/>
      <c r="I54" s="92"/>
      <c r="J54" s="92"/>
      <c r="K54" s="92"/>
      <c r="L54" s="92"/>
      <c r="M54" s="92"/>
      <c r="N54" s="92"/>
      <c r="O54" s="92"/>
      <c r="Q54" s="1"/>
    </row>
    <row r="55" spans="1:17" ht="14.5" x14ac:dyDescent="0.35">
      <c r="A55" s="91"/>
      <c r="B55" s="92"/>
      <c r="C55" s="92"/>
      <c r="D55" s="92"/>
      <c r="E55" s="92"/>
      <c r="F55" s="92"/>
      <c r="G55" s="92"/>
      <c r="H55" s="92"/>
      <c r="I55" s="92"/>
      <c r="J55" s="92"/>
      <c r="K55" s="92"/>
      <c r="L55" s="92"/>
      <c r="M55" s="92"/>
      <c r="N55" s="92"/>
      <c r="O55" s="92"/>
      <c r="Q55" s="1"/>
    </row>
    <row r="56" spans="1:17" ht="14.5" x14ac:dyDescent="0.35">
      <c r="A56" s="91"/>
      <c r="B56" s="92"/>
      <c r="C56" s="92"/>
      <c r="D56" s="92"/>
      <c r="E56" s="92"/>
      <c r="F56" s="92"/>
      <c r="G56" s="92"/>
      <c r="H56" s="92"/>
      <c r="I56" s="92"/>
      <c r="J56" s="92"/>
      <c r="K56" s="92"/>
      <c r="L56" s="92"/>
      <c r="M56" s="92"/>
      <c r="N56" s="92"/>
      <c r="O56" s="92"/>
      <c r="Q56" s="1"/>
    </row>
    <row r="57" spans="1:17" ht="14.5" x14ac:dyDescent="0.35">
      <c r="A57" s="91"/>
      <c r="B57" s="92"/>
      <c r="C57" s="92"/>
      <c r="D57" s="92"/>
      <c r="E57" s="92"/>
      <c r="F57" s="92"/>
      <c r="G57" s="92"/>
      <c r="H57" s="92"/>
      <c r="I57" s="92"/>
      <c r="J57" s="92"/>
      <c r="K57" s="92"/>
      <c r="L57" s="92"/>
      <c r="M57" s="92"/>
      <c r="N57" s="92"/>
      <c r="O57" s="92"/>
      <c r="Q57" s="1"/>
    </row>
    <row r="58" spans="1:17" ht="14.5" x14ac:dyDescent="0.35">
      <c r="A58" s="91"/>
      <c r="B58" s="92"/>
      <c r="C58" s="92"/>
      <c r="D58" s="92"/>
      <c r="E58" s="92"/>
      <c r="F58" s="92"/>
      <c r="G58" s="92"/>
      <c r="H58" s="92"/>
      <c r="I58" s="92"/>
      <c r="J58" s="92"/>
      <c r="K58" s="92"/>
      <c r="L58" s="92"/>
      <c r="M58" s="92"/>
      <c r="N58" s="92"/>
      <c r="O58" s="92"/>
      <c r="Q58" s="1"/>
    </row>
    <row r="59" spans="1:17" ht="14.5" x14ac:dyDescent="0.35">
      <c r="A59" s="91"/>
      <c r="B59" s="92"/>
      <c r="C59" s="92"/>
      <c r="D59" s="92"/>
      <c r="E59" s="92"/>
      <c r="F59" s="92"/>
      <c r="G59" s="92"/>
      <c r="H59" s="92"/>
      <c r="I59" s="92"/>
      <c r="J59" s="92"/>
      <c r="K59" s="92"/>
      <c r="L59" s="92"/>
      <c r="M59" s="92"/>
      <c r="N59" s="92"/>
      <c r="O59" s="92"/>
      <c r="Q59" s="1"/>
    </row>
    <row r="60" spans="1:17" ht="14.5" x14ac:dyDescent="0.35">
      <c r="A60" s="91"/>
      <c r="B60" s="92"/>
      <c r="C60" s="92"/>
      <c r="D60" s="92"/>
      <c r="E60" s="92"/>
      <c r="F60" s="92"/>
      <c r="G60" s="92"/>
      <c r="H60" s="92"/>
      <c r="I60" s="92"/>
      <c r="J60" s="92"/>
      <c r="K60" s="92"/>
      <c r="L60" s="92"/>
      <c r="M60" s="92"/>
      <c r="N60" s="92"/>
      <c r="O60" s="92"/>
      <c r="Q60" s="1"/>
    </row>
    <row r="61" spans="1:17" ht="14.5" x14ac:dyDescent="0.35">
      <c r="A61" s="91"/>
      <c r="B61" s="92"/>
      <c r="C61" s="92"/>
      <c r="D61" s="92"/>
      <c r="E61" s="92"/>
      <c r="F61" s="92"/>
      <c r="G61" s="92"/>
      <c r="H61" s="92"/>
      <c r="I61" s="92"/>
      <c r="J61" s="92"/>
      <c r="K61" s="92"/>
      <c r="L61" s="92"/>
      <c r="M61" s="92"/>
      <c r="N61" s="92"/>
      <c r="O61" s="92"/>
      <c r="Q61" s="1"/>
    </row>
    <row r="62" spans="1:17" ht="14.5" x14ac:dyDescent="0.35">
      <c r="A62" s="91"/>
      <c r="B62" s="92"/>
      <c r="C62" s="92"/>
      <c r="D62" s="92"/>
      <c r="E62" s="92"/>
      <c r="F62" s="92"/>
      <c r="G62" s="92"/>
      <c r="H62" s="92"/>
      <c r="I62" s="92"/>
      <c r="J62" s="92"/>
      <c r="K62" s="92"/>
      <c r="L62" s="92"/>
      <c r="M62" s="92"/>
      <c r="N62" s="92"/>
      <c r="O62" s="92"/>
      <c r="Q62" s="1"/>
    </row>
    <row r="63" spans="1:17" ht="14.5" x14ac:dyDescent="0.35">
      <c r="A63" s="91"/>
      <c r="B63" s="92"/>
      <c r="C63" s="92"/>
      <c r="D63" s="92"/>
      <c r="E63" s="92"/>
      <c r="F63" s="92"/>
      <c r="G63" s="92"/>
      <c r="H63" s="92"/>
      <c r="I63" s="92"/>
      <c r="J63" s="92"/>
      <c r="K63" s="92"/>
      <c r="L63" s="92"/>
      <c r="M63" s="92"/>
      <c r="N63" s="92"/>
      <c r="O63" s="92"/>
      <c r="Q63" s="1"/>
    </row>
    <row r="64" spans="1:17" ht="14.5" x14ac:dyDescent="0.35">
      <c r="A64" s="91"/>
      <c r="B64" s="92"/>
      <c r="C64" s="92"/>
      <c r="D64" s="92"/>
      <c r="E64" s="92"/>
      <c r="F64" s="92"/>
      <c r="G64" s="92"/>
      <c r="H64" s="92"/>
      <c r="I64" s="92"/>
      <c r="J64" s="92"/>
      <c r="K64" s="92"/>
      <c r="L64" s="92"/>
      <c r="M64" s="92"/>
      <c r="N64" s="92"/>
      <c r="O64" s="92"/>
      <c r="Q64" s="1"/>
    </row>
    <row r="65" spans="1:17" ht="14.5" x14ac:dyDescent="0.35">
      <c r="A65" s="91"/>
      <c r="B65" s="92"/>
      <c r="C65" s="92"/>
      <c r="D65" s="92"/>
      <c r="E65" s="92"/>
      <c r="F65" s="92"/>
      <c r="G65" s="92"/>
      <c r="H65" s="92"/>
      <c r="I65" s="92"/>
      <c r="J65" s="92"/>
      <c r="K65" s="92"/>
      <c r="L65" s="92"/>
      <c r="M65" s="92"/>
      <c r="N65" s="92"/>
      <c r="O65" s="92"/>
      <c r="Q65" s="1"/>
    </row>
    <row r="66" spans="1:17" ht="14.5" x14ac:dyDescent="0.35">
      <c r="A66" s="91"/>
      <c r="B66" s="92"/>
      <c r="C66" s="92"/>
      <c r="D66" s="92"/>
      <c r="E66" s="92"/>
      <c r="F66" s="92"/>
      <c r="G66" s="92"/>
      <c r="H66" s="92"/>
      <c r="I66" s="92"/>
      <c r="J66" s="92"/>
      <c r="K66" s="92"/>
      <c r="L66" s="92"/>
      <c r="M66" s="92"/>
      <c r="N66" s="92"/>
      <c r="O66" s="92"/>
      <c r="Q66" s="1"/>
    </row>
    <row r="67" spans="1:17" ht="14.5" x14ac:dyDescent="0.35">
      <c r="A67" s="91"/>
      <c r="B67" s="92"/>
      <c r="C67" s="92"/>
      <c r="D67" s="92"/>
      <c r="E67" s="92"/>
      <c r="F67" s="92"/>
      <c r="G67" s="92"/>
      <c r="H67" s="92"/>
      <c r="I67" s="92"/>
      <c r="J67" s="92"/>
      <c r="K67" s="92"/>
      <c r="L67" s="92"/>
      <c r="M67" s="92"/>
      <c r="N67" s="92"/>
      <c r="O67" s="92"/>
      <c r="Q67" s="1"/>
    </row>
    <row r="68" spans="1:17" ht="14.5" x14ac:dyDescent="0.35">
      <c r="A68" s="90"/>
      <c r="B68" s="93"/>
      <c r="C68" s="93"/>
      <c r="D68" s="93"/>
      <c r="E68" s="93"/>
      <c r="F68" s="93"/>
      <c r="G68" s="93"/>
      <c r="H68" s="93"/>
      <c r="I68" s="93"/>
      <c r="J68" s="93"/>
      <c r="K68" s="93"/>
      <c r="L68" s="93"/>
      <c r="M68" s="93">
        <f t="shared" ref="M68:O68" si="2">SUM(M5:M67)</f>
        <v>1432.9300000000014</v>
      </c>
      <c r="N68" s="93">
        <f t="shared" si="2"/>
        <v>-44517.78</v>
      </c>
      <c r="O68" s="93">
        <f t="shared" si="2"/>
        <v>0</v>
      </c>
      <c r="Q68" s="1"/>
    </row>
    <row r="69" spans="1:17" ht="14.5" x14ac:dyDescent="0.35">
      <c r="A69" s="78"/>
      <c r="B69" s="79"/>
      <c r="C69" s="79"/>
      <c r="D69" s="79"/>
      <c r="E69" s="79"/>
      <c r="F69" s="79"/>
      <c r="G69" s="79"/>
      <c r="H69" s="79"/>
      <c r="I69" s="79"/>
      <c r="J69" s="79"/>
      <c r="K69" s="79"/>
      <c r="L69" s="79"/>
      <c r="M69" s="79"/>
      <c r="N69" s="79"/>
      <c r="O69" s="79"/>
      <c r="Q69" s="1"/>
    </row>
    <row r="70" spans="1:17" ht="14.5" x14ac:dyDescent="0.35">
      <c r="A70" s="77"/>
      <c r="B70" s="80"/>
      <c r="C70" s="80"/>
      <c r="D70" s="80"/>
      <c r="E70" s="80"/>
      <c r="F70" s="80"/>
      <c r="G70" s="80"/>
      <c r="H70" s="80"/>
      <c r="I70" s="80"/>
      <c r="J70" s="80"/>
      <c r="K70" s="80"/>
      <c r="L70" s="80"/>
      <c r="M70" s="80">
        <f t="shared" ref="M70:O70" si="3">L70+M68</f>
        <v>1432.9300000000014</v>
      </c>
      <c r="N70" s="80">
        <f t="shared" si="3"/>
        <v>-43084.85</v>
      </c>
      <c r="O70" s="80">
        <f t="shared" si="3"/>
        <v>-43084.85</v>
      </c>
    </row>
    <row r="71" spans="1:17" x14ac:dyDescent="0.25"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349241-6853-42F9-BA71-DD8F442CBB8E}">
  <sheetPr codeName="Sheet7">
    <tabColor rgb="FF92D050"/>
  </sheetPr>
  <dimension ref="A1:L67"/>
  <sheetViews>
    <sheetView workbookViewId="0">
      <selection activeCell="F20" sqref="F20"/>
    </sheetView>
  </sheetViews>
  <sheetFormatPr defaultRowHeight="12.5" x14ac:dyDescent="0.25"/>
  <cols>
    <col min="1" max="1" width="14.6328125" customWidth="1"/>
    <col min="2" max="2" width="11.7265625" bestFit="1" customWidth="1"/>
    <col min="3" max="3" width="14.81640625" bestFit="1" customWidth="1"/>
    <col min="4" max="5" width="9.6328125" bestFit="1" customWidth="1"/>
    <col min="6" max="6" width="9.6328125" customWidth="1"/>
    <col min="7" max="7" width="9.6328125" bestFit="1" customWidth="1"/>
    <col min="8" max="8" width="9.6328125" customWidth="1"/>
    <col min="9" max="9" width="14.81640625" customWidth="1"/>
    <col min="10" max="10" width="22.6328125" customWidth="1"/>
    <col min="11" max="11" width="24.08984375" customWidth="1"/>
    <col min="12" max="12" width="17.6328125" customWidth="1"/>
  </cols>
  <sheetData>
    <row r="1" spans="1:12" ht="13" x14ac:dyDescent="0.3">
      <c r="A1" s="71" t="s">
        <v>110</v>
      </c>
      <c r="B1" s="71" t="s">
        <v>151</v>
      </c>
      <c r="C1" s="71" t="s">
        <v>152</v>
      </c>
      <c r="G1" s="41"/>
    </row>
    <row r="2" spans="1:12" x14ac:dyDescent="0.25">
      <c r="A2" t="s">
        <v>153</v>
      </c>
      <c r="B2" t="s">
        <v>148</v>
      </c>
      <c r="C2">
        <v>91.18</v>
      </c>
      <c r="F2" s="76"/>
      <c r="J2" s="41" t="s">
        <v>154</v>
      </c>
      <c r="K2" s="104" t="s">
        <v>205</v>
      </c>
    </row>
    <row r="3" spans="1:12" x14ac:dyDescent="0.25">
      <c r="A3" t="s">
        <v>153</v>
      </c>
      <c r="B3" t="s">
        <v>146</v>
      </c>
      <c r="C3">
        <v>85.39</v>
      </c>
      <c r="G3" s="76"/>
    </row>
    <row r="4" spans="1:12" x14ac:dyDescent="0.25">
      <c r="A4" t="s">
        <v>153</v>
      </c>
      <c r="B4" t="s">
        <v>147</v>
      </c>
      <c r="C4">
        <v>45.65</v>
      </c>
      <c r="G4" s="76"/>
    </row>
    <row r="5" spans="1:12" x14ac:dyDescent="0.25">
      <c r="A5" t="s">
        <v>150</v>
      </c>
      <c r="B5" t="s">
        <v>148</v>
      </c>
      <c r="C5">
        <v>244.44</v>
      </c>
      <c r="G5" s="76"/>
    </row>
    <row r="6" spans="1:12" x14ac:dyDescent="0.25">
      <c r="A6" t="s">
        <v>150</v>
      </c>
      <c r="B6" t="s">
        <v>146</v>
      </c>
      <c r="C6">
        <v>158.41999999999999</v>
      </c>
      <c r="G6" s="76"/>
    </row>
    <row r="7" spans="1:12" x14ac:dyDescent="0.25">
      <c r="A7" t="s">
        <v>150</v>
      </c>
      <c r="B7" t="s">
        <v>147</v>
      </c>
      <c r="C7">
        <v>40.99</v>
      </c>
      <c r="G7" s="76"/>
    </row>
    <row r="8" spans="1:12" x14ac:dyDescent="0.25">
      <c r="A8" t="s">
        <v>24</v>
      </c>
      <c r="B8" t="s">
        <v>148</v>
      </c>
      <c r="C8">
        <v>278.42</v>
      </c>
      <c r="G8" s="76"/>
    </row>
    <row r="9" spans="1:12" x14ac:dyDescent="0.25">
      <c r="A9" t="s">
        <v>24</v>
      </c>
      <c r="B9" t="s">
        <v>146</v>
      </c>
      <c r="C9">
        <v>73.989999999999995</v>
      </c>
      <c r="G9" s="76"/>
    </row>
    <row r="10" spans="1:12" ht="13" x14ac:dyDescent="0.3">
      <c r="A10" t="s">
        <v>24</v>
      </c>
      <c r="B10" t="s">
        <v>147</v>
      </c>
      <c r="C10">
        <v>66.13</v>
      </c>
      <c r="D10" s="71" t="s">
        <v>162</v>
      </c>
      <c r="E10" s="71">
        <f>SUM(C:C)</f>
        <v>1084.6100000000001</v>
      </c>
      <c r="F10" s="71"/>
      <c r="G10" s="76"/>
    </row>
    <row r="11" spans="1:12" x14ac:dyDescent="0.25">
      <c r="G11" s="76"/>
    </row>
    <row r="12" spans="1:12" ht="32.25" customHeight="1" x14ac:dyDescent="0.25">
      <c r="H12" s="76" t="s">
        <v>163</v>
      </c>
      <c r="I12" t="s">
        <v>169</v>
      </c>
      <c r="J12" s="116" t="s">
        <v>195</v>
      </c>
      <c r="K12" s="116" t="s">
        <v>196</v>
      </c>
      <c r="L12" s="105" t="s">
        <v>155</v>
      </c>
    </row>
    <row r="13" spans="1:12" x14ac:dyDescent="0.25">
      <c r="H13" s="106">
        <v>2000</v>
      </c>
      <c r="I13" s="44" t="s">
        <v>164</v>
      </c>
      <c r="J13" s="107" t="s">
        <v>156</v>
      </c>
      <c r="K13" s="107" t="s">
        <v>156</v>
      </c>
      <c r="L13" s="108" t="str">
        <f t="shared" ref="L13:L20" si="0">J13</f>
        <v>21:00:00</v>
      </c>
    </row>
    <row r="14" spans="1:12" x14ac:dyDescent="0.25">
      <c r="H14" s="106">
        <v>3000</v>
      </c>
      <c r="I14" s="44" t="s">
        <v>164</v>
      </c>
      <c r="J14" s="107" t="s">
        <v>156</v>
      </c>
      <c r="K14" s="107" t="s">
        <v>156</v>
      </c>
      <c r="L14" s="108" t="str">
        <f t="shared" si="0"/>
        <v>21:00:00</v>
      </c>
    </row>
    <row r="15" spans="1:12" x14ac:dyDescent="0.25">
      <c r="H15" s="106">
        <v>4000</v>
      </c>
      <c r="I15" s="44" t="s">
        <v>165</v>
      </c>
      <c r="J15" s="109" t="s">
        <v>156</v>
      </c>
      <c r="K15" s="107" t="s">
        <v>159</v>
      </c>
      <c r="L15" s="108" t="str">
        <f t="shared" si="0"/>
        <v>21:00:00</v>
      </c>
    </row>
    <row r="16" spans="1:12" x14ac:dyDescent="0.25">
      <c r="H16" s="106">
        <v>5000</v>
      </c>
      <c r="I16" s="44" t="s">
        <v>166</v>
      </c>
      <c r="J16" s="107" t="s">
        <v>157</v>
      </c>
      <c r="K16" s="107" t="s">
        <v>157</v>
      </c>
      <c r="L16" s="108" t="str">
        <f t="shared" si="0"/>
        <v>20:30:00</v>
      </c>
    </row>
    <row r="17" spans="7:12" x14ac:dyDescent="0.25">
      <c r="H17" s="106">
        <v>6000</v>
      </c>
      <c r="I17" s="44" t="s">
        <v>167</v>
      </c>
      <c r="J17" s="107" t="s">
        <v>158</v>
      </c>
      <c r="K17" s="107" t="s">
        <v>161</v>
      </c>
      <c r="L17" s="108" t="str">
        <f t="shared" si="0"/>
        <v>19:00:00</v>
      </c>
    </row>
    <row r="18" spans="7:12" x14ac:dyDescent="0.25">
      <c r="H18" s="106">
        <v>7000</v>
      </c>
      <c r="I18" s="44" t="s">
        <v>164</v>
      </c>
      <c r="J18" s="107" t="s">
        <v>156</v>
      </c>
      <c r="K18" s="107" t="s">
        <v>156</v>
      </c>
      <c r="L18" s="108" t="str">
        <f t="shared" si="0"/>
        <v>21:00:00</v>
      </c>
    </row>
    <row r="19" spans="7:12" x14ac:dyDescent="0.25">
      <c r="H19" s="106">
        <v>8000</v>
      </c>
      <c r="I19" s="44" t="s">
        <v>168</v>
      </c>
      <c r="J19" s="107" t="s">
        <v>157</v>
      </c>
      <c r="K19" s="107" t="s">
        <v>160</v>
      </c>
      <c r="L19" s="108" t="str">
        <f t="shared" si="0"/>
        <v>20:30:00</v>
      </c>
    </row>
    <row r="20" spans="7:12" x14ac:dyDescent="0.25">
      <c r="H20" s="106">
        <v>9000</v>
      </c>
      <c r="I20" s="44" t="s">
        <v>164</v>
      </c>
      <c r="J20" s="107" t="s">
        <v>156</v>
      </c>
      <c r="K20" s="107" t="s">
        <v>156</v>
      </c>
      <c r="L20" s="108" t="str">
        <f t="shared" si="0"/>
        <v>21:00:00</v>
      </c>
    </row>
    <row r="21" spans="7:12" x14ac:dyDescent="0.25">
      <c r="G21" s="76"/>
    </row>
    <row r="22" spans="7:12" x14ac:dyDescent="0.25">
      <c r="G22" s="76"/>
    </row>
    <row r="23" spans="7:12" x14ac:dyDescent="0.25">
      <c r="G23" s="76"/>
    </row>
    <row r="24" spans="7:12" x14ac:dyDescent="0.25">
      <c r="G24" s="76"/>
      <c r="I24" s="70" t="s">
        <v>107</v>
      </c>
    </row>
    <row r="25" spans="7:12" x14ac:dyDescent="0.25">
      <c r="G25" s="76"/>
    </row>
    <row r="26" spans="7:12" x14ac:dyDescent="0.25">
      <c r="G26" s="76"/>
    </row>
    <row r="27" spans="7:12" x14ac:dyDescent="0.25">
      <c r="G27" s="76"/>
    </row>
    <row r="28" spans="7:12" x14ac:dyDescent="0.25">
      <c r="G28" s="76"/>
    </row>
    <row r="29" spans="7:12" x14ac:dyDescent="0.25">
      <c r="G29" s="76"/>
    </row>
    <row r="30" spans="7:12" x14ac:dyDescent="0.25">
      <c r="G30" s="76"/>
    </row>
    <row r="31" spans="7:12" x14ac:dyDescent="0.25">
      <c r="G31" s="76"/>
    </row>
    <row r="32" spans="7:12" x14ac:dyDescent="0.25">
      <c r="G32" s="76"/>
    </row>
    <row r="33" spans="7:7" x14ac:dyDescent="0.25">
      <c r="G33" s="76"/>
    </row>
    <row r="34" spans="7:7" x14ac:dyDescent="0.25">
      <c r="G34" s="76"/>
    </row>
    <row r="35" spans="7:7" x14ac:dyDescent="0.25">
      <c r="G35" s="76"/>
    </row>
    <row r="36" spans="7:7" x14ac:dyDescent="0.25">
      <c r="G36" s="76"/>
    </row>
    <row r="37" spans="7:7" x14ac:dyDescent="0.25">
      <c r="G37" s="76"/>
    </row>
    <row r="38" spans="7:7" x14ac:dyDescent="0.25">
      <c r="G38" s="76"/>
    </row>
    <row r="39" spans="7:7" x14ac:dyDescent="0.25">
      <c r="G39" s="76"/>
    </row>
    <row r="40" spans="7:7" x14ac:dyDescent="0.25">
      <c r="G40" s="76"/>
    </row>
    <row r="41" spans="7:7" x14ac:dyDescent="0.25">
      <c r="G41" s="76"/>
    </row>
    <row r="42" spans="7:7" x14ac:dyDescent="0.25">
      <c r="G42" s="76"/>
    </row>
    <row r="43" spans="7:7" x14ac:dyDescent="0.25">
      <c r="G43" s="76"/>
    </row>
    <row r="44" spans="7:7" x14ac:dyDescent="0.25">
      <c r="G44" s="76"/>
    </row>
    <row r="45" spans="7:7" x14ac:dyDescent="0.25">
      <c r="G45" s="76"/>
    </row>
    <row r="46" spans="7:7" x14ac:dyDescent="0.25">
      <c r="G46" s="76"/>
    </row>
    <row r="47" spans="7:7" x14ac:dyDescent="0.25">
      <c r="G47" s="76"/>
    </row>
    <row r="48" spans="7:7" x14ac:dyDescent="0.25">
      <c r="G48" s="76"/>
    </row>
    <row r="49" spans="7:7" x14ac:dyDescent="0.25">
      <c r="G49" s="76"/>
    </row>
    <row r="50" spans="7:7" x14ac:dyDescent="0.25">
      <c r="G50" s="76"/>
    </row>
    <row r="51" spans="7:7" x14ac:dyDescent="0.25">
      <c r="G51" s="76"/>
    </row>
    <row r="52" spans="7:7" x14ac:dyDescent="0.25">
      <c r="G52" s="76"/>
    </row>
    <row r="53" spans="7:7" x14ac:dyDescent="0.25">
      <c r="G53" s="76"/>
    </row>
    <row r="54" spans="7:7" x14ac:dyDescent="0.25">
      <c r="G54" s="76"/>
    </row>
    <row r="55" spans="7:7" x14ac:dyDescent="0.25">
      <c r="G55" s="76"/>
    </row>
    <row r="56" spans="7:7" x14ac:dyDescent="0.25">
      <c r="G56" s="76"/>
    </row>
    <row r="57" spans="7:7" x14ac:dyDescent="0.25">
      <c r="G57" s="76"/>
    </row>
    <row r="58" spans="7:7" x14ac:dyDescent="0.25">
      <c r="G58" s="76"/>
    </row>
    <row r="59" spans="7:7" x14ac:dyDescent="0.25">
      <c r="G59" s="76"/>
    </row>
    <row r="60" spans="7:7" x14ac:dyDescent="0.25">
      <c r="G60" s="76"/>
    </row>
    <row r="61" spans="7:7" x14ac:dyDescent="0.25">
      <c r="G61" s="76"/>
    </row>
    <row r="62" spans="7:7" x14ac:dyDescent="0.25">
      <c r="G62" s="76"/>
    </row>
    <row r="63" spans="7:7" x14ac:dyDescent="0.25">
      <c r="G63" s="76"/>
    </row>
    <row r="64" spans="7:7" x14ac:dyDescent="0.25">
      <c r="G64" s="76"/>
    </row>
    <row r="65" spans="7:7" x14ac:dyDescent="0.25">
      <c r="G65" s="76"/>
    </row>
    <row r="66" spans="7:7" x14ac:dyDescent="0.25">
      <c r="G66" s="76"/>
    </row>
    <row r="67" spans="7:7" ht="13" x14ac:dyDescent="0.3">
      <c r="G67" s="71">
        <f t="shared" ref="G67" si="1">SUM(G2:G66)</f>
        <v>0</v>
      </c>
    </row>
  </sheetData>
  <hyperlinks>
    <hyperlink ref="I24" r:id="rId1" xr:uid="{00000000-0004-0000-1A00-000000000000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5" name="Button 2">
              <controlPr defaultSize="0" print="0" autoFill="0" autoPict="0" macro="[0]!FetchSalesAfterBankSettlementTime">
                <anchor>
                  <from>
                    <xdr:col>9</xdr:col>
                    <xdr:colOff>723900</xdr:colOff>
                    <xdr:row>3</xdr:row>
                    <xdr:rowOff>133350</xdr:rowOff>
                  </from>
                  <to>
                    <xdr:col>11</xdr:col>
                    <xdr:colOff>584200</xdr:colOff>
                    <xdr:row>7</xdr:row>
                    <xdr:rowOff>57150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8" tint="0.39997558519241921"/>
  </sheetPr>
  <dimension ref="A1:L705"/>
  <sheetViews>
    <sheetView zoomScale="90" zoomScaleNormal="90" workbookViewId="0">
      <selection activeCell="E29" sqref="E29"/>
    </sheetView>
  </sheetViews>
  <sheetFormatPr defaultRowHeight="12.5" x14ac:dyDescent="0.25"/>
  <cols>
    <col min="1" max="1" width="12.6328125" customWidth="1"/>
    <col min="2" max="2" width="25.6328125" style="101" customWidth="1"/>
    <col min="3" max="3" width="25.81640625" style="46" bestFit="1" customWidth="1"/>
    <col min="4" max="4" width="21.7265625" bestFit="1" customWidth="1"/>
    <col min="5" max="5" width="17.26953125" bestFit="1" customWidth="1"/>
    <col min="6" max="6" width="10.6328125" customWidth="1"/>
    <col min="7" max="7" width="18.6328125" style="46" customWidth="1"/>
    <col min="8" max="8" width="10.6328125" customWidth="1"/>
    <col min="9" max="9" width="10.7265625" customWidth="1"/>
    <col min="10" max="10" width="11.26953125" customWidth="1"/>
    <col min="11" max="11" width="18.7265625" bestFit="1" customWidth="1"/>
    <col min="12" max="12" width="11.26953125" bestFit="1" customWidth="1"/>
    <col min="15" max="15" width="11" bestFit="1" customWidth="1"/>
  </cols>
  <sheetData>
    <row r="1" spans="1:12" ht="13" x14ac:dyDescent="0.3">
      <c r="A1" s="71" t="s">
        <v>110</v>
      </c>
      <c r="B1" s="102" t="s">
        <v>172</v>
      </c>
      <c r="C1" s="103" t="s">
        <v>149</v>
      </c>
      <c r="D1" s="71" t="s">
        <v>173</v>
      </c>
      <c r="E1" s="71" t="s">
        <v>174</v>
      </c>
      <c r="F1" s="71" t="s">
        <v>170</v>
      </c>
      <c r="G1" s="103" t="s">
        <v>171</v>
      </c>
      <c r="H1" s="71" t="s">
        <v>175</v>
      </c>
      <c r="I1" s="71"/>
      <c r="J1" s="71"/>
      <c r="K1" s="71"/>
      <c r="L1" s="71"/>
    </row>
    <row r="2" spans="1:12" x14ac:dyDescent="0.25">
      <c r="A2" t="s">
        <v>24</v>
      </c>
      <c r="B2" s="101" t="s">
        <v>208</v>
      </c>
      <c r="C2" s="46">
        <v>44347.189583333333</v>
      </c>
      <c r="D2" t="s">
        <v>146</v>
      </c>
      <c r="E2">
        <v>3.9</v>
      </c>
      <c r="F2" t="str">
        <f>VLOOKUP(A2*1,Table2[],5,TRUE)</f>
        <v>20:30:00</v>
      </c>
      <c r="G2" s="46" t="e">
        <f t="shared" ref="G2:G65" si="0">DATEVALUE(TEXT($L$2-1,"DD/MM/YYYY"))+TIMEVALUE(TEXT(F2,"HH:MM:SS"))</f>
        <v>#VALUE!</v>
      </c>
      <c r="H2" t="e">
        <f t="shared" ref="H2:H65" si="1">IF(C2&lt;G2,"Before Bank Cut Off",IF(C2&gt;=DATEVALUE($L$2),"After Midnight","In Between"))</f>
        <v>#VALUE!</v>
      </c>
      <c r="K2" s="41" t="s">
        <v>194</v>
      </c>
      <c r="L2" s="115" t="s">
        <v>206</v>
      </c>
    </row>
    <row r="3" spans="1:12" x14ac:dyDescent="0.25">
      <c r="A3" t="s">
        <v>24</v>
      </c>
      <c r="B3" s="101" t="s">
        <v>217</v>
      </c>
      <c r="C3" s="46">
        <v>44347.190509259257</v>
      </c>
      <c r="D3" t="s">
        <v>146</v>
      </c>
      <c r="E3">
        <v>24.99</v>
      </c>
      <c r="F3" t="str">
        <f>VLOOKUP(A3*1,Table2[],5,TRUE)</f>
        <v>20:30:00</v>
      </c>
      <c r="G3" s="46" t="e">
        <f t="shared" si="0"/>
        <v>#VALUE!</v>
      </c>
      <c r="H3" t="e">
        <f t="shared" si="1"/>
        <v>#VALUE!</v>
      </c>
    </row>
    <row r="4" spans="1:12" x14ac:dyDescent="0.25">
      <c r="A4" t="s">
        <v>24</v>
      </c>
      <c r="B4" s="101" t="s">
        <v>217</v>
      </c>
      <c r="C4" s="46">
        <v>44347.192557870374</v>
      </c>
      <c r="D4" t="s">
        <v>147</v>
      </c>
      <c r="E4">
        <v>11.2</v>
      </c>
      <c r="F4" t="str">
        <f>VLOOKUP(A4*1,Table2[],5,TRUE)</f>
        <v>20:30:00</v>
      </c>
      <c r="G4" s="46" t="e">
        <f t="shared" si="0"/>
        <v>#VALUE!</v>
      </c>
      <c r="H4" t="e">
        <f t="shared" si="1"/>
        <v>#VALUE!</v>
      </c>
    </row>
    <row r="5" spans="1:12" x14ac:dyDescent="0.25">
      <c r="A5" t="s">
        <v>24</v>
      </c>
      <c r="B5" s="101" t="s">
        <v>217</v>
      </c>
      <c r="C5" s="46">
        <v>44347.195011574076</v>
      </c>
      <c r="D5" t="s">
        <v>146</v>
      </c>
      <c r="E5">
        <v>19.989999999999998</v>
      </c>
      <c r="F5" t="str">
        <f>VLOOKUP(A5*1,Table2[],5,TRUE)</f>
        <v>20:30:00</v>
      </c>
      <c r="G5" s="46" t="e">
        <f t="shared" si="0"/>
        <v>#VALUE!</v>
      </c>
      <c r="H5" t="e">
        <f t="shared" si="1"/>
        <v>#VALUE!</v>
      </c>
    </row>
    <row r="6" spans="1:12" x14ac:dyDescent="0.25">
      <c r="A6" t="s">
        <v>24</v>
      </c>
      <c r="B6" s="101" t="s">
        <v>217</v>
      </c>
      <c r="C6" s="46">
        <v>44347.197453703702</v>
      </c>
      <c r="D6" t="s">
        <v>147</v>
      </c>
      <c r="E6">
        <v>2.2000000000000002</v>
      </c>
      <c r="F6" t="str">
        <f>VLOOKUP(A6*1,Table2[],5,TRUE)</f>
        <v>20:30:00</v>
      </c>
      <c r="G6" s="46" t="e">
        <f t="shared" si="0"/>
        <v>#VALUE!</v>
      </c>
      <c r="H6" t="e">
        <f t="shared" si="1"/>
        <v>#VALUE!</v>
      </c>
    </row>
    <row r="7" spans="1:12" x14ac:dyDescent="0.25">
      <c r="A7" t="s">
        <v>24</v>
      </c>
      <c r="B7" s="101" t="s">
        <v>217</v>
      </c>
      <c r="C7" s="46">
        <v>44347.198946759258</v>
      </c>
      <c r="D7" t="s">
        <v>147</v>
      </c>
      <c r="E7">
        <v>20.39</v>
      </c>
      <c r="F7" t="str">
        <f>VLOOKUP(A7*1,Table2[],5,TRUE)</f>
        <v>20:30:00</v>
      </c>
      <c r="G7" s="46" t="e">
        <f t="shared" si="0"/>
        <v>#VALUE!</v>
      </c>
      <c r="H7" t="e">
        <f t="shared" si="1"/>
        <v>#VALUE!</v>
      </c>
    </row>
    <row r="8" spans="1:12" x14ac:dyDescent="0.25">
      <c r="A8" t="s">
        <v>24</v>
      </c>
      <c r="B8" s="101" t="s">
        <v>217</v>
      </c>
      <c r="C8" s="46">
        <v>44347.19935185185</v>
      </c>
      <c r="D8" t="s">
        <v>147</v>
      </c>
      <c r="E8">
        <v>42.8</v>
      </c>
      <c r="F8" t="str">
        <f>VLOOKUP(A8*1,Table2[],5,TRUE)</f>
        <v>20:30:00</v>
      </c>
      <c r="G8" s="46" t="e">
        <f t="shared" si="0"/>
        <v>#VALUE!</v>
      </c>
      <c r="H8" t="e">
        <f t="shared" si="1"/>
        <v>#VALUE!</v>
      </c>
    </row>
    <row r="9" spans="1:12" x14ac:dyDescent="0.25">
      <c r="A9" t="s">
        <v>24</v>
      </c>
      <c r="B9" s="101" t="s">
        <v>208</v>
      </c>
      <c r="C9" s="46">
        <v>44347.20040509259</v>
      </c>
      <c r="D9" t="s">
        <v>147</v>
      </c>
      <c r="E9">
        <v>8.8000000000000007</v>
      </c>
      <c r="F9" t="str">
        <f>VLOOKUP(A9*1,Table2[],5,TRUE)</f>
        <v>20:30:00</v>
      </c>
      <c r="G9" s="46" t="e">
        <f t="shared" si="0"/>
        <v>#VALUE!</v>
      </c>
      <c r="H9" t="e">
        <f t="shared" si="1"/>
        <v>#VALUE!</v>
      </c>
    </row>
    <row r="10" spans="1:12" x14ac:dyDescent="0.25">
      <c r="A10" t="s">
        <v>24</v>
      </c>
      <c r="B10" s="101" t="s">
        <v>217</v>
      </c>
      <c r="C10" s="46">
        <v>44347.204826388886</v>
      </c>
      <c r="D10" t="s">
        <v>148</v>
      </c>
      <c r="E10">
        <v>8.8000000000000007</v>
      </c>
      <c r="F10" t="str">
        <f>VLOOKUP(A10*1,Table2[],5,TRUE)</f>
        <v>20:30:00</v>
      </c>
      <c r="G10" s="46" t="e">
        <f t="shared" si="0"/>
        <v>#VALUE!</v>
      </c>
      <c r="H10" t="e">
        <f t="shared" si="1"/>
        <v>#VALUE!</v>
      </c>
    </row>
    <row r="11" spans="1:12" x14ac:dyDescent="0.25">
      <c r="A11" t="s">
        <v>24</v>
      </c>
      <c r="B11" s="101" t="s">
        <v>217</v>
      </c>
      <c r="C11" s="46">
        <v>44347.207395833335</v>
      </c>
      <c r="D11" t="s">
        <v>146</v>
      </c>
      <c r="E11">
        <v>3</v>
      </c>
      <c r="F11" t="str">
        <f>VLOOKUP(A11*1,Table2[],5,TRUE)</f>
        <v>20:30:00</v>
      </c>
      <c r="G11" s="46" t="e">
        <f t="shared" si="0"/>
        <v>#VALUE!</v>
      </c>
      <c r="H11" t="e">
        <f t="shared" si="1"/>
        <v>#VALUE!</v>
      </c>
    </row>
    <row r="12" spans="1:12" x14ac:dyDescent="0.25">
      <c r="A12" t="s">
        <v>24</v>
      </c>
      <c r="B12" s="101" t="s">
        <v>208</v>
      </c>
      <c r="C12" s="46">
        <v>44347.207696759258</v>
      </c>
      <c r="D12" t="s">
        <v>147</v>
      </c>
      <c r="E12">
        <v>11.6</v>
      </c>
      <c r="F12" t="str">
        <f>VLOOKUP(A12*1,Table2[],5,TRUE)</f>
        <v>20:30:00</v>
      </c>
      <c r="G12" s="46" t="e">
        <f t="shared" si="0"/>
        <v>#VALUE!</v>
      </c>
      <c r="H12" t="e">
        <f t="shared" si="1"/>
        <v>#VALUE!</v>
      </c>
    </row>
    <row r="13" spans="1:12" x14ac:dyDescent="0.25">
      <c r="A13" t="s">
        <v>24</v>
      </c>
      <c r="B13" s="101" t="s">
        <v>208</v>
      </c>
      <c r="C13" s="46">
        <v>44347.207905092589</v>
      </c>
      <c r="D13" t="s">
        <v>147</v>
      </c>
      <c r="E13">
        <v>8.1999999999999993</v>
      </c>
      <c r="F13" t="str">
        <f>VLOOKUP(A13*1,Table2[],5,TRUE)</f>
        <v>20:30:00</v>
      </c>
      <c r="G13" s="46" t="e">
        <f t="shared" si="0"/>
        <v>#VALUE!</v>
      </c>
      <c r="H13" t="e">
        <f t="shared" si="1"/>
        <v>#VALUE!</v>
      </c>
    </row>
    <row r="14" spans="1:12" x14ac:dyDescent="0.25">
      <c r="A14" t="s">
        <v>24</v>
      </c>
      <c r="B14" s="101" t="s">
        <v>208</v>
      </c>
      <c r="C14" s="46">
        <v>44347.208171296297</v>
      </c>
      <c r="D14" t="s">
        <v>146</v>
      </c>
      <c r="E14">
        <v>5</v>
      </c>
      <c r="F14" t="str">
        <f>VLOOKUP(A14*1,Table2[],5,TRUE)</f>
        <v>20:30:00</v>
      </c>
      <c r="G14" s="46" t="e">
        <f t="shared" si="0"/>
        <v>#VALUE!</v>
      </c>
      <c r="H14" t="e">
        <f t="shared" si="1"/>
        <v>#VALUE!</v>
      </c>
    </row>
    <row r="15" spans="1:12" x14ac:dyDescent="0.25">
      <c r="A15" t="s">
        <v>24</v>
      </c>
      <c r="B15" s="101" t="s">
        <v>208</v>
      </c>
      <c r="C15" s="46">
        <v>44347.208460648151</v>
      </c>
      <c r="D15" t="s">
        <v>146</v>
      </c>
      <c r="E15">
        <v>12.2</v>
      </c>
      <c r="F15" t="str">
        <f>VLOOKUP(A15*1,Table2[],5,TRUE)</f>
        <v>20:30:00</v>
      </c>
      <c r="G15" s="46" t="e">
        <f t="shared" si="0"/>
        <v>#VALUE!</v>
      </c>
      <c r="H15" t="e">
        <f t="shared" si="1"/>
        <v>#VALUE!</v>
      </c>
    </row>
    <row r="16" spans="1:12" x14ac:dyDescent="0.25">
      <c r="A16" t="s">
        <v>24</v>
      </c>
      <c r="B16" s="101" t="s">
        <v>208</v>
      </c>
      <c r="C16" s="46">
        <v>44347.222141203703</v>
      </c>
      <c r="D16" t="s">
        <v>147</v>
      </c>
      <c r="E16">
        <v>17.98</v>
      </c>
      <c r="F16" t="str">
        <f>VLOOKUP(A16*1,Table2[],5,TRUE)</f>
        <v>20:30:00</v>
      </c>
      <c r="G16" s="46" t="e">
        <f t="shared" si="0"/>
        <v>#VALUE!</v>
      </c>
      <c r="H16" t="e">
        <f t="shared" si="1"/>
        <v>#VALUE!</v>
      </c>
    </row>
    <row r="17" spans="1:8" x14ac:dyDescent="0.25">
      <c r="A17" t="s">
        <v>24</v>
      </c>
      <c r="B17" s="101" t="s">
        <v>217</v>
      </c>
      <c r="C17" s="46">
        <v>44347.225937499999</v>
      </c>
      <c r="D17" t="s">
        <v>147</v>
      </c>
      <c r="E17">
        <v>4.75</v>
      </c>
      <c r="F17" t="str">
        <f>VLOOKUP(A17*1,Table2[],5,TRUE)</f>
        <v>20:30:00</v>
      </c>
      <c r="G17" s="46" t="e">
        <f t="shared" si="0"/>
        <v>#VALUE!</v>
      </c>
      <c r="H17" t="e">
        <f t="shared" si="1"/>
        <v>#VALUE!</v>
      </c>
    </row>
    <row r="18" spans="1:8" x14ac:dyDescent="0.25">
      <c r="A18" t="s">
        <v>24</v>
      </c>
      <c r="B18" s="101" t="s">
        <v>208</v>
      </c>
      <c r="C18" s="46">
        <v>44347.22855324074</v>
      </c>
      <c r="D18" t="s">
        <v>147</v>
      </c>
      <c r="E18">
        <v>4.5</v>
      </c>
      <c r="F18" t="str">
        <f>VLOOKUP(A18*1,Table2[],5,TRUE)</f>
        <v>20:30:00</v>
      </c>
      <c r="G18" s="46" t="e">
        <f t="shared" si="0"/>
        <v>#VALUE!</v>
      </c>
      <c r="H18" t="e">
        <f t="shared" si="1"/>
        <v>#VALUE!</v>
      </c>
    </row>
    <row r="19" spans="1:8" x14ac:dyDescent="0.25">
      <c r="A19" t="s">
        <v>24</v>
      </c>
      <c r="B19" s="101" t="s">
        <v>217</v>
      </c>
      <c r="C19" s="46">
        <v>44347.230115740742</v>
      </c>
      <c r="D19" t="s">
        <v>148</v>
      </c>
      <c r="E19">
        <v>14.89</v>
      </c>
      <c r="F19" t="str">
        <f>VLOOKUP(A19*1,Table2[],5,TRUE)</f>
        <v>20:30:00</v>
      </c>
      <c r="G19" s="46" t="e">
        <f t="shared" si="0"/>
        <v>#VALUE!</v>
      </c>
      <c r="H19" t="e">
        <f t="shared" si="1"/>
        <v>#VALUE!</v>
      </c>
    </row>
    <row r="20" spans="1:8" x14ac:dyDescent="0.25">
      <c r="A20" t="s">
        <v>24</v>
      </c>
      <c r="B20" s="101" t="s">
        <v>208</v>
      </c>
      <c r="C20" s="46">
        <v>44347.240879629629</v>
      </c>
      <c r="D20" t="s">
        <v>146</v>
      </c>
      <c r="E20">
        <v>6</v>
      </c>
      <c r="F20" t="str">
        <f>VLOOKUP(A20*1,Table2[],5,TRUE)</f>
        <v>20:30:00</v>
      </c>
      <c r="G20" s="46" t="e">
        <f t="shared" si="0"/>
        <v>#VALUE!</v>
      </c>
      <c r="H20" t="e">
        <f t="shared" si="1"/>
        <v>#VALUE!</v>
      </c>
    </row>
    <row r="21" spans="1:8" x14ac:dyDescent="0.25">
      <c r="A21" t="s">
        <v>24</v>
      </c>
      <c r="B21" s="101" t="s">
        <v>217</v>
      </c>
      <c r="C21" s="46">
        <v>44347.245150462964</v>
      </c>
      <c r="D21" t="s">
        <v>147</v>
      </c>
      <c r="E21">
        <v>6.7</v>
      </c>
      <c r="F21" t="str">
        <f>VLOOKUP(A21*1,Table2[],5,TRUE)</f>
        <v>20:30:00</v>
      </c>
      <c r="G21" s="46" t="e">
        <f t="shared" si="0"/>
        <v>#VALUE!</v>
      </c>
      <c r="H21" t="e">
        <f t="shared" si="1"/>
        <v>#VALUE!</v>
      </c>
    </row>
    <row r="22" spans="1:8" x14ac:dyDescent="0.25">
      <c r="A22" t="s">
        <v>24</v>
      </c>
      <c r="B22" s="101" t="s">
        <v>208</v>
      </c>
      <c r="C22" s="46">
        <v>44347.275266203702</v>
      </c>
      <c r="D22" t="s">
        <v>147</v>
      </c>
      <c r="E22">
        <v>30.99</v>
      </c>
      <c r="F22" t="str">
        <f>VLOOKUP(A22*1,Table2[],5,TRUE)</f>
        <v>20:30:00</v>
      </c>
      <c r="G22" s="46" t="e">
        <f t="shared" si="0"/>
        <v>#VALUE!</v>
      </c>
      <c r="H22" t="e">
        <f t="shared" si="1"/>
        <v>#VALUE!</v>
      </c>
    </row>
    <row r="23" spans="1:8" x14ac:dyDescent="0.25">
      <c r="A23" t="s">
        <v>24</v>
      </c>
      <c r="B23" s="101" t="s">
        <v>208</v>
      </c>
      <c r="C23" s="46">
        <v>44347.277662037035</v>
      </c>
      <c r="D23" t="s">
        <v>146</v>
      </c>
      <c r="E23">
        <v>6.99</v>
      </c>
      <c r="F23" t="str">
        <f>VLOOKUP(A23*1,Table2[],5,TRUE)</f>
        <v>20:30:00</v>
      </c>
      <c r="G23" s="46" t="e">
        <f t="shared" si="0"/>
        <v>#VALUE!</v>
      </c>
      <c r="H23" t="e">
        <f t="shared" si="1"/>
        <v>#VALUE!</v>
      </c>
    </row>
    <row r="24" spans="1:8" x14ac:dyDescent="0.25">
      <c r="A24" t="s">
        <v>24</v>
      </c>
      <c r="B24" s="101" t="s">
        <v>208</v>
      </c>
      <c r="C24" s="46">
        <v>44347.27988425926</v>
      </c>
      <c r="D24" t="s">
        <v>148</v>
      </c>
      <c r="E24">
        <v>27.5</v>
      </c>
      <c r="F24" t="str">
        <f>VLOOKUP(A24*1,Table2[],5,TRUE)</f>
        <v>20:30:00</v>
      </c>
      <c r="G24" s="46" t="e">
        <f t="shared" si="0"/>
        <v>#VALUE!</v>
      </c>
      <c r="H24" t="e">
        <f t="shared" si="1"/>
        <v>#VALUE!</v>
      </c>
    </row>
    <row r="25" spans="1:8" x14ac:dyDescent="0.25">
      <c r="A25" t="s">
        <v>24</v>
      </c>
      <c r="B25" s="101" t="s">
        <v>208</v>
      </c>
      <c r="C25" s="46">
        <v>44347.281238425923</v>
      </c>
      <c r="D25" t="s">
        <v>147</v>
      </c>
      <c r="E25">
        <v>3</v>
      </c>
      <c r="F25" t="str">
        <f>VLOOKUP(A25*1,Table2[],5,TRUE)</f>
        <v>20:30:00</v>
      </c>
      <c r="G25" s="46" t="e">
        <f t="shared" si="0"/>
        <v>#VALUE!</v>
      </c>
      <c r="H25" t="e">
        <f t="shared" si="1"/>
        <v>#VALUE!</v>
      </c>
    </row>
    <row r="26" spans="1:8" x14ac:dyDescent="0.25">
      <c r="A26" t="s">
        <v>24</v>
      </c>
      <c r="B26" s="101" t="s">
        <v>208</v>
      </c>
      <c r="C26" s="46">
        <v>44347.281574074077</v>
      </c>
      <c r="D26" t="s">
        <v>147</v>
      </c>
      <c r="E26">
        <v>2.2000000000000002</v>
      </c>
      <c r="F26" t="str">
        <f>VLOOKUP(A26*1,Table2[],5,TRUE)</f>
        <v>20:30:00</v>
      </c>
      <c r="G26" s="46" t="e">
        <f t="shared" si="0"/>
        <v>#VALUE!</v>
      </c>
      <c r="H26" t="e">
        <f t="shared" si="1"/>
        <v>#VALUE!</v>
      </c>
    </row>
    <row r="27" spans="1:8" x14ac:dyDescent="0.25">
      <c r="A27" t="s">
        <v>24</v>
      </c>
      <c r="B27" s="101" t="s">
        <v>208</v>
      </c>
      <c r="C27" s="46">
        <v>44347.282430555555</v>
      </c>
      <c r="D27" t="s">
        <v>146</v>
      </c>
      <c r="E27">
        <v>11.39</v>
      </c>
      <c r="F27" t="str">
        <f>VLOOKUP(A27*1,Table2[],5,TRUE)</f>
        <v>20:30:00</v>
      </c>
      <c r="G27" s="46" t="e">
        <f t="shared" si="0"/>
        <v>#VALUE!</v>
      </c>
      <c r="H27" t="e">
        <f t="shared" si="1"/>
        <v>#VALUE!</v>
      </c>
    </row>
    <row r="28" spans="1:8" x14ac:dyDescent="0.25">
      <c r="A28" t="s">
        <v>24</v>
      </c>
      <c r="B28" s="101" t="s">
        <v>208</v>
      </c>
      <c r="C28" s="46">
        <v>44347.282835648148</v>
      </c>
      <c r="D28" t="s">
        <v>147</v>
      </c>
      <c r="E28">
        <v>13.2</v>
      </c>
      <c r="F28" t="str">
        <f>VLOOKUP(A28*1,Table2[],5,TRUE)</f>
        <v>20:30:00</v>
      </c>
      <c r="G28" s="46" t="e">
        <f t="shared" si="0"/>
        <v>#VALUE!</v>
      </c>
      <c r="H28" t="e">
        <f t="shared" si="1"/>
        <v>#VALUE!</v>
      </c>
    </row>
    <row r="29" spans="1:8" x14ac:dyDescent="0.25">
      <c r="A29" t="s">
        <v>24</v>
      </c>
      <c r="B29" s="101" t="s">
        <v>208</v>
      </c>
      <c r="C29" s="46">
        <v>44347.283460648148</v>
      </c>
      <c r="D29" t="s">
        <v>147</v>
      </c>
      <c r="E29">
        <v>6.1</v>
      </c>
      <c r="F29" t="str">
        <f>VLOOKUP(A29*1,Table2[],5,TRUE)</f>
        <v>20:30:00</v>
      </c>
      <c r="G29" s="46" t="e">
        <f t="shared" si="0"/>
        <v>#VALUE!</v>
      </c>
      <c r="H29" t="e">
        <f t="shared" si="1"/>
        <v>#VALUE!</v>
      </c>
    </row>
    <row r="30" spans="1:8" x14ac:dyDescent="0.25">
      <c r="A30" t="s">
        <v>24</v>
      </c>
      <c r="B30" s="101" t="s">
        <v>208</v>
      </c>
      <c r="C30" s="46">
        <v>44347.284039351849</v>
      </c>
      <c r="D30" t="s">
        <v>146</v>
      </c>
      <c r="E30">
        <v>8.6999999999999993</v>
      </c>
      <c r="F30" t="str">
        <f>VLOOKUP(A30*1,Table2[],5,TRUE)</f>
        <v>20:30:00</v>
      </c>
      <c r="G30" s="46" t="e">
        <f t="shared" si="0"/>
        <v>#VALUE!</v>
      </c>
      <c r="H30" t="e">
        <f t="shared" si="1"/>
        <v>#VALUE!</v>
      </c>
    </row>
    <row r="31" spans="1:8" x14ac:dyDescent="0.25">
      <c r="A31" t="s">
        <v>24</v>
      </c>
      <c r="B31" s="101" t="s">
        <v>217</v>
      </c>
      <c r="C31" s="46">
        <v>44347.286192129628</v>
      </c>
      <c r="D31" t="s">
        <v>147</v>
      </c>
      <c r="E31">
        <v>12.98</v>
      </c>
      <c r="F31" t="str">
        <f>VLOOKUP(A31*1,Table2[],5,TRUE)</f>
        <v>20:30:00</v>
      </c>
      <c r="G31" s="46" t="e">
        <f t="shared" si="0"/>
        <v>#VALUE!</v>
      </c>
      <c r="H31" t="e">
        <f t="shared" si="1"/>
        <v>#VALUE!</v>
      </c>
    </row>
    <row r="32" spans="1:8" x14ac:dyDescent="0.25">
      <c r="A32" t="s">
        <v>24</v>
      </c>
      <c r="B32" s="101" t="s">
        <v>217</v>
      </c>
      <c r="C32" s="46">
        <v>44347.29179398148</v>
      </c>
      <c r="D32" t="s">
        <v>146</v>
      </c>
      <c r="E32">
        <v>6.2</v>
      </c>
      <c r="F32" t="str">
        <f>VLOOKUP(A32*1,Table2[],5,TRUE)</f>
        <v>20:30:00</v>
      </c>
      <c r="G32" s="46" t="e">
        <f t="shared" si="0"/>
        <v>#VALUE!</v>
      </c>
      <c r="H32" t="e">
        <f t="shared" si="1"/>
        <v>#VALUE!</v>
      </c>
    </row>
    <row r="33" spans="1:8" x14ac:dyDescent="0.25">
      <c r="A33" t="s">
        <v>24</v>
      </c>
      <c r="B33" s="101" t="s">
        <v>208</v>
      </c>
      <c r="C33" s="46">
        <v>44347.293171296296</v>
      </c>
      <c r="D33" t="s">
        <v>147</v>
      </c>
      <c r="E33">
        <v>7.95</v>
      </c>
      <c r="F33" t="str">
        <f>VLOOKUP(A33*1,Table2[],5,TRUE)</f>
        <v>20:30:00</v>
      </c>
      <c r="G33" s="46" t="e">
        <f t="shared" si="0"/>
        <v>#VALUE!</v>
      </c>
      <c r="H33" t="e">
        <f t="shared" si="1"/>
        <v>#VALUE!</v>
      </c>
    </row>
    <row r="34" spans="1:8" x14ac:dyDescent="0.25">
      <c r="A34" t="s">
        <v>24</v>
      </c>
      <c r="B34" s="101" t="s">
        <v>208</v>
      </c>
      <c r="C34" s="46">
        <v>44347.293761574074</v>
      </c>
      <c r="D34" t="s">
        <v>147</v>
      </c>
      <c r="E34">
        <v>32.99</v>
      </c>
      <c r="F34" t="str">
        <f>VLOOKUP(A34*1,Table2[],5,TRUE)</f>
        <v>20:30:00</v>
      </c>
      <c r="G34" s="46" t="e">
        <f t="shared" si="0"/>
        <v>#VALUE!</v>
      </c>
      <c r="H34" t="e">
        <f t="shared" si="1"/>
        <v>#VALUE!</v>
      </c>
    </row>
    <row r="35" spans="1:8" x14ac:dyDescent="0.25">
      <c r="A35" t="s">
        <v>24</v>
      </c>
      <c r="B35" s="101" t="s">
        <v>208</v>
      </c>
      <c r="C35" s="46">
        <v>44347.294074074074</v>
      </c>
      <c r="D35" t="s">
        <v>146</v>
      </c>
      <c r="E35">
        <v>32.99</v>
      </c>
      <c r="F35" t="str">
        <f>VLOOKUP(A35*1,Table2[],5,TRUE)</f>
        <v>20:30:00</v>
      </c>
      <c r="G35" s="46" t="e">
        <f t="shared" si="0"/>
        <v>#VALUE!</v>
      </c>
      <c r="H35" t="e">
        <f t="shared" si="1"/>
        <v>#VALUE!</v>
      </c>
    </row>
    <row r="36" spans="1:8" x14ac:dyDescent="0.25">
      <c r="A36" t="s">
        <v>24</v>
      </c>
      <c r="B36" s="101" t="s">
        <v>208</v>
      </c>
      <c r="C36" s="46">
        <v>44347.294363425928</v>
      </c>
      <c r="D36" t="s">
        <v>147</v>
      </c>
      <c r="E36">
        <v>6.2</v>
      </c>
      <c r="F36" t="str">
        <f>VLOOKUP(A36*1,Table2[],5,TRUE)</f>
        <v>20:30:00</v>
      </c>
      <c r="G36" s="46" t="e">
        <f t="shared" si="0"/>
        <v>#VALUE!</v>
      </c>
      <c r="H36" t="e">
        <f t="shared" si="1"/>
        <v>#VALUE!</v>
      </c>
    </row>
    <row r="37" spans="1:8" x14ac:dyDescent="0.25">
      <c r="A37" t="s">
        <v>24</v>
      </c>
      <c r="B37" s="101" t="s">
        <v>208</v>
      </c>
      <c r="C37" s="46">
        <v>44347.294699074075</v>
      </c>
      <c r="D37" t="s">
        <v>148</v>
      </c>
      <c r="E37">
        <v>70.540000000000006</v>
      </c>
      <c r="F37" t="str">
        <f>VLOOKUP(A37*1,Table2[],5,TRUE)</f>
        <v>20:30:00</v>
      </c>
      <c r="G37" s="46" t="e">
        <f t="shared" si="0"/>
        <v>#VALUE!</v>
      </c>
      <c r="H37" t="e">
        <f t="shared" si="1"/>
        <v>#VALUE!</v>
      </c>
    </row>
    <row r="38" spans="1:8" x14ac:dyDescent="0.25">
      <c r="A38" t="s">
        <v>24</v>
      </c>
      <c r="B38" s="101" t="s">
        <v>208</v>
      </c>
      <c r="C38" s="46">
        <v>44347.295127314814</v>
      </c>
      <c r="D38" t="s">
        <v>146</v>
      </c>
      <c r="E38">
        <v>19.989999999999998</v>
      </c>
      <c r="F38" t="str">
        <f>VLOOKUP(A38*1,Table2[],5,TRUE)</f>
        <v>20:30:00</v>
      </c>
      <c r="G38" s="46" t="e">
        <f t="shared" si="0"/>
        <v>#VALUE!</v>
      </c>
      <c r="H38" t="e">
        <f t="shared" si="1"/>
        <v>#VALUE!</v>
      </c>
    </row>
    <row r="39" spans="1:8" x14ac:dyDescent="0.25">
      <c r="A39" t="s">
        <v>24</v>
      </c>
      <c r="B39" s="101" t="s">
        <v>208</v>
      </c>
      <c r="C39" s="46">
        <v>44347.298356481479</v>
      </c>
      <c r="D39" t="s">
        <v>147</v>
      </c>
      <c r="E39">
        <v>1.7</v>
      </c>
      <c r="F39" t="str">
        <f>VLOOKUP(A39*1,Table2[],5,TRUE)</f>
        <v>20:30:00</v>
      </c>
      <c r="G39" s="46" t="e">
        <f t="shared" si="0"/>
        <v>#VALUE!</v>
      </c>
      <c r="H39" t="e">
        <f t="shared" si="1"/>
        <v>#VALUE!</v>
      </c>
    </row>
    <row r="40" spans="1:8" x14ac:dyDescent="0.25">
      <c r="A40" t="s">
        <v>24</v>
      </c>
      <c r="B40" s="101" t="s">
        <v>208</v>
      </c>
      <c r="C40" s="46">
        <v>44347.331504629627</v>
      </c>
      <c r="D40" t="s">
        <v>147</v>
      </c>
      <c r="E40">
        <v>13.5</v>
      </c>
      <c r="F40" t="str">
        <f>VLOOKUP(A40*1,Table2[],5,TRUE)</f>
        <v>20:30:00</v>
      </c>
      <c r="G40" s="46" t="e">
        <f t="shared" si="0"/>
        <v>#VALUE!</v>
      </c>
      <c r="H40" t="e">
        <f t="shared" si="1"/>
        <v>#VALUE!</v>
      </c>
    </row>
    <row r="41" spans="1:8" x14ac:dyDescent="0.25">
      <c r="A41" t="s">
        <v>24</v>
      </c>
      <c r="B41" s="101" t="s">
        <v>208</v>
      </c>
      <c r="C41" s="46">
        <v>44347.334293981483</v>
      </c>
      <c r="D41" t="s">
        <v>147</v>
      </c>
      <c r="E41">
        <v>13.7</v>
      </c>
      <c r="F41" t="str">
        <f>VLOOKUP(A41*1,Table2[],5,TRUE)</f>
        <v>20:30:00</v>
      </c>
      <c r="G41" s="46" t="e">
        <f t="shared" si="0"/>
        <v>#VALUE!</v>
      </c>
      <c r="H41" t="e">
        <f t="shared" si="1"/>
        <v>#VALUE!</v>
      </c>
    </row>
    <row r="42" spans="1:8" x14ac:dyDescent="0.25">
      <c r="A42" t="s">
        <v>24</v>
      </c>
      <c r="B42" s="101" t="s">
        <v>208</v>
      </c>
      <c r="C42" s="46">
        <v>44347.354004629633</v>
      </c>
      <c r="D42" t="s">
        <v>147</v>
      </c>
      <c r="E42">
        <v>12.9</v>
      </c>
      <c r="F42" t="str">
        <f>VLOOKUP(A42*1,Table2[],5,TRUE)</f>
        <v>20:30:00</v>
      </c>
      <c r="G42" s="46" t="e">
        <f t="shared" si="0"/>
        <v>#VALUE!</v>
      </c>
      <c r="H42" t="e">
        <f t="shared" si="1"/>
        <v>#VALUE!</v>
      </c>
    </row>
    <row r="43" spans="1:8" x14ac:dyDescent="0.25">
      <c r="A43" t="s">
        <v>24</v>
      </c>
      <c r="B43" s="101" t="s">
        <v>208</v>
      </c>
      <c r="C43" s="46">
        <v>44347.356041666666</v>
      </c>
      <c r="D43" t="s">
        <v>147</v>
      </c>
      <c r="E43">
        <v>24.9</v>
      </c>
      <c r="F43" t="str">
        <f>VLOOKUP(A43*1,Table2[],5,TRUE)</f>
        <v>20:30:00</v>
      </c>
      <c r="G43" s="46" t="e">
        <f t="shared" si="0"/>
        <v>#VALUE!</v>
      </c>
      <c r="H43" t="e">
        <f t="shared" si="1"/>
        <v>#VALUE!</v>
      </c>
    </row>
    <row r="44" spans="1:8" x14ac:dyDescent="0.25">
      <c r="A44" t="s">
        <v>24</v>
      </c>
      <c r="B44" s="101" t="s">
        <v>208</v>
      </c>
      <c r="C44" s="46">
        <v>44347.371087962965</v>
      </c>
      <c r="D44" t="s">
        <v>147</v>
      </c>
      <c r="E44">
        <v>22.99</v>
      </c>
      <c r="F44" t="str">
        <f>VLOOKUP(A44*1,Table2[],5,TRUE)</f>
        <v>20:30:00</v>
      </c>
      <c r="G44" s="46" t="e">
        <f t="shared" si="0"/>
        <v>#VALUE!</v>
      </c>
      <c r="H44" t="e">
        <f t="shared" si="1"/>
        <v>#VALUE!</v>
      </c>
    </row>
    <row r="45" spans="1:8" x14ac:dyDescent="0.25">
      <c r="A45" t="s">
        <v>24</v>
      </c>
      <c r="B45" s="101" t="s">
        <v>208</v>
      </c>
      <c r="C45" s="46">
        <v>44347.375393518516</v>
      </c>
      <c r="D45" t="s">
        <v>146</v>
      </c>
      <c r="E45">
        <v>118.05</v>
      </c>
      <c r="F45" t="str">
        <f>VLOOKUP(A45*1,Table2[],5,TRUE)</f>
        <v>20:30:00</v>
      </c>
      <c r="G45" s="46" t="e">
        <f t="shared" si="0"/>
        <v>#VALUE!</v>
      </c>
      <c r="H45" t="e">
        <f t="shared" si="1"/>
        <v>#VALUE!</v>
      </c>
    </row>
    <row r="46" spans="1:8" x14ac:dyDescent="0.25">
      <c r="A46" t="s">
        <v>24</v>
      </c>
      <c r="B46" s="101" t="s">
        <v>208</v>
      </c>
      <c r="C46" s="46">
        <v>44347.378564814811</v>
      </c>
      <c r="D46" t="s">
        <v>147</v>
      </c>
      <c r="E46">
        <v>4.99</v>
      </c>
      <c r="F46" t="str">
        <f>VLOOKUP(A46*1,Table2[],5,TRUE)</f>
        <v>20:30:00</v>
      </c>
      <c r="G46" s="46" t="e">
        <f t="shared" si="0"/>
        <v>#VALUE!</v>
      </c>
      <c r="H46" t="e">
        <f t="shared" si="1"/>
        <v>#VALUE!</v>
      </c>
    </row>
    <row r="47" spans="1:8" x14ac:dyDescent="0.25">
      <c r="A47" t="s">
        <v>24</v>
      </c>
      <c r="B47" s="101" t="s">
        <v>208</v>
      </c>
      <c r="C47" s="46">
        <v>44347.37903935185</v>
      </c>
      <c r="D47" t="s">
        <v>146</v>
      </c>
      <c r="E47">
        <v>68.97</v>
      </c>
      <c r="F47" t="str">
        <f>VLOOKUP(A47*1,Table2[],5,TRUE)</f>
        <v>20:30:00</v>
      </c>
      <c r="G47" s="46" t="e">
        <f t="shared" si="0"/>
        <v>#VALUE!</v>
      </c>
      <c r="H47" t="e">
        <f t="shared" si="1"/>
        <v>#VALUE!</v>
      </c>
    </row>
    <row r="48" spans="1:8" x14ac:dyDescent="0.25">
      <c r="A48" t="s">
        <v>24</v>
      </c>
      <c r="B48" s="101" t="s">
        <v>208</v>
      </c>
      <c r="C48" s="46">
        <v>44347.380509259259</v>
      </c>
      <c r="D48" t="s">
        <v>146</v>
      </c>
      <c r="E48">
        <v>13.9</v>
      </c>
      <c r="F48" t="str">
        <f>VLOOKUP(A48*1,Table2[],5,TRUE)</f>
        <v>20:30:00</v>
      </c>
      <c r="G48" s="46" t="e">
        <f t="shared" si="0"/>
        <v>#VALUE!</v>
      </c>
      <c r="H48" t="e">
        <f t="shared" si="1"/>
        <v>#VALUE!</v>
      </c>
    </row>
    <row r="49" spans="1:8" x14ac:dyDescent="0.25">
      <c r="A49" t="s">
        <v>24</v>
      </c>
      <c r="B49" s="101" t="s">
        <v>208</v>
      </c>
      <c r="C49" s="46">
        <v>44347.381076388891</v>
      </c>
      <c r="D49" t="s">
        <v>148</v>
      </c>
      <c r="E49">
        <v>56.9</v>
      </c>
      <c r="F49" t="str">
        <f>VLOOKUP(A49*1,Table2[],5,TRUE)</f>
        <v>20:30:00</v>
      </c>
      <c r="G49" s="46" t="e">
        <f t="shared" si="0"/>
        <v>#VALUE!</v>
      </c>
      <c r="H49" t="e">
        <f t="shared" si="1"/>
        <v>#VALUE!</v>
      </c>
    </row>
    <row r="50" spans="1:8" x14ac:dyDescent="0.25">
      <c r="A50" t="s">
        <v>24</v>
      </c>
      <c r="B50" s="101" t="s">
        <v>208</v>
      </c>
      <c r="C50" s="46">
        <v>44347.381921296299</v>
      </c>
      <c r="D50" t="s">
        <v>147</v>
      </c>
      <c r="E50">
        <v>116.44</v>
      </c>
      <c r="F50" t="str">
        <f>VLOOKUP(A50*1,Table2[],5,TRUE)</f>
        <v>20:30:00</v>
      </c>
      <c r="G50" s="46" t="e">
        <f t="shared" si="0"/>
        <v>#VALUE!</v>
      </c>
      <c r="H50" t="e">
        <f t="shared" si="1"/>
        <v>#VALUE!</v>
      </c>
    </row>
    <row r="51" spans="1:8" x14ac:dyDescent="0.25">
      <c r="A51" t="s">
        <v>24</v>
      </c>
      <c r="B51" s="101" t="s">
        <v>208</v>
      </c>
      <c r="C51" s="46">
        <v>44347.382314814815</v>
      </c>
      <c r="D51" t="s">
        <v>147</v>
      </c>
      <c r="E51">
        <v>4.99</v>
      </c>
      <c r="F51" t="str">
        <f>VLOOKUP(A51*1,Table2[],5,TRUE)</f>
        <v>20:30:00</v>
      </c>
      <c r="G51" s="46" t="e">
        <f t="shared" si="0"/>
        <v>#VALUE!</v>
      </c>
      <c r="H51" t="e">
        <f t="shared" si="1"/>
        <v>#VALUE!</v>
      </c>
    </row>
    <row r="52" spans="1:8" x14ac:dyDescent="0.25">
      <c r="A52" t="s">
        <v>24</v>
      </c>
      <c r="B52" s="101" t="s">
        <v>208</v>
      </c>
      <c r="C52" s="46">
        <v>44347.383958333332</v>
      </c>
      <c r="D52" t="s">
        <v>146</v>
      </c>
      <c r="E52">
        <v>2.2000000000000002</v>
      </c>
      <c r="F52" t="str">
        <f>VLOOKUP(A52*1,Table2[],5,TRUE)</f>
        <v>20:30:00</v>
      </c>
      <c r="G52" s="46" t="e">
        <f t="shared" si="0"/>
        <v>#VALUE!</v>
      </c>
      <c r="H52" t="e">
        <f t="shared" si="1"/>
        <v>#VALUE!</v>
      </c>
    </row>
    <row r="53" spans="1:8" x14ac:dyDescent="0.25">
      <c r="A53" t="s">
        <v>24</v>
      </c>
      <c r="B53" s="101" t="s">
        <v>208</v>
      </c>
      <c r="C53" s="46">
        <v>44347.390601851854</v>
      </c>
      <c r="D53" t="s">
        <v>146</v>
      </c>
      <c r="E53">
        <v>40.97</v>
      </c>
      <c r="F53" t="str">
        <f>VLOOKUP(A53*1,Table2[],5,TRUE)</f>
        <v>20:30:00</v>
      </c>
      <c r="G53" s="46" t="e">
        <f t="shared" si="0"/>
        <v>#VALUE!</v>
      </c>
      <c r="H53" t="e">
        <f t="shared" si="1"/>
        <v>#VALUE!</v>
      </c>
    </row>
    <row r="54" spans="1:8" x14ac:dyDescent="0.25">
      <c r="A54" t="s">
        <v>24</v>
      </c>
      <c r="B54" s="101" t="s">
        <v>217</v>
      </c>
      <c r="C54" s="46">
        <v>44347.393958333334</v>
      </c>
      <c r="D54" t="s">
        <v>146</v>
      </c>
      <c r="E54">
        <v>6.1</v>
      </c>
      <c r="F54" t="str">
        <f>VLOOKUP(A54*1,Table2[],5,TRUE)</f>
        <v>20:30:00</v>
      </c>
      <c r="G54" s="46" t="e">
        <f t="shared" si="0"/>
        <v>#VALUE!</v>
      </c>
      <c r="H54" t="e">
        <f t="shared" si="1"/>
        <v>#VALUE!</v>
      </c>
    </row>
    <row r="55" spans="1:8" x14ac:dyDescent="0.25">
      <c r="A55" t="s">
        <v>24</v>
      </c>
      <c r="B55" s="101" t="s">
        <v>217</v>
      </c>
      <c r="C55" s="46">
        <v>44347.394224537034</v>
      </c>
      <c r="D55" t="s">
        <v>147</v>
      </c>
      <c r="E55">
        <v>8</v>
      </c>
      <c r="F55" t="str">
        <f>VLOOKUP(A55*1,Table2[],5,TRUE)</f>
        <v>20:30:00</v>
      </c>
      <c r="G55" s="46" t="e">
        <f t="shared" si="0"/>
        <v>#VALUE!</v>
      </c>
      <c r="H55" t="e">
        <f t="shared" si="1"/>
        <v>#VALUE!</v>
      </c>
    </row>
    <row r="56" spans="1:8" x14ac:dyDescent="0.25">
      <c r="A56" t="s">
        <v>24</v>
      </c>
      <c r="B56" s="101" t="s">
        <v>208</v>
      </c>
      <c r="C56" s="46">
        <v>44347.39607638889</v>
      </c>
      <c r="D56" t="s">
        <v>146</v>
      </c>
      <c r="E56">
        <v>6.2</v>
      </c>
      <c r="F56" t="str">
        <f>VLOOKUP(A56*1,Table2[],5,TRUE)</f>
        <v>20:30:00</v>
      </c>
      <c r="G56" s="46" t="e">
        <f t="shared" si="0"/>
        <v>#VALUE!</v>
      </c>
      <c r="H56" t="e">
        <f t="shared" si="1"/>
        <v>#VALUE!</v>
      </c>
    </row>
    <row r="57" spans="1:8" x14ac:dyDescent="0.25">
      <c r="A57" t="s">
        <v>24</v>
      </c>
      <c r="B57" s="101" t="s">
        <v>217</v>
      </c>
      <c r="C57" s="46">
        <v>44347.396284722221</v>
      </c>
      <c r="D57" t="s">
        <v>147</v>
      </c>
      <c r="E57">
        <v>5.2</v>
      </c>
      <c r="F57" t="str">
        <f>VLOOKUP(A57*1,Table2[],5,TRUE)</f>
        <v>20:30:00</v>
      </c>
      <c r="G57" s="46" t="e">
        <f t="shared" si="0"/>
        <v>#VALUE!</v>
      </c>
      <c r="H57" t="e">
        <f t="shared" si="1"/>
        <v>#VALUE!</v>
      </c>
    </row>
    <row r="58" spans="1:8" x14ac:dyDescent="0.25">
      <c r="A58" t="s">
        <v>24</v>
      </c>
      <c r="B58" s="101" t="s">
        <v>208</v>
      </c>
      <c r="C58" s="46">
        <v>44347.397002314814</v>
      </c>
      <c r="D58" t="s">
        <v>146</v>
      </c>
      <c r="E58">
        <v>13</v>
      </c>
      <c r="F58" t="str">
        <f>VLOOKUP(A58*1,Table2[],5,TRUE)</f>
        <v>20:30:00</v>
      </c>
      <c r="G58" s="46" t="e">
        <f t="shared" si="0"/>
        <v>#VALUE!</v>
      </c>
      <c r="H58" t="e">
        <f t="shared" si="1"/>
        <v>#VALUE!</v>
      </c>
    </row>
    <row r="59" spans="1:8" x14ac:dyDescent="0.25">
      <c r="A59" t="s">
        <v>24</v>
      </c>
      <c r="B59" s="101" t="s">
        <v>208</v>
      </c>
      <c r="C59" s="46">
        <v>44347.399942129632</v>
      </c>
      <c r="D59" t="s">
        <v>148</v>
      </c>
      <c r="E59">
        <v>30</v>
      </c>
      <c r="F59" t="str">
        <f>VLOOKUP(A59*1,Table2[],5,TRUE)</f>
        <v>20:30:00</v>
      </c>
      <c r="G59" s="46" t="e">
        <f t="shared" si="0"/>
        <v>#VALUE!</v>
      </c>
      <c r="H59" t="e">
        <f t="shared" si="1"/>
        <v>#VALUE!</v>
      </c>
    </row>
    <row r="60" spans="1:8" x14ac:dyDescent="0.25">
      <c r="A60" t="s">
        <v>24</v>
      </c>
      <c r="B60" s="101" t="s">
        <v>208</v>
      </c>
      <c r="C60" s="46">
        <v>44347.400277777779</v>
      </c>
      <c r="D60" t="s">
        <v>147</v>
      </c>
      <c r="E60">
        <v>5</v>
      </c>
      <c r="F60" t="str">
        <f>VLOOKUP(A60*1,Table2[],5,TRUE)</f>
        <v>20:30:00</v>
      </c>
      <c r="G60" s="46" t="e">
        <f t="shared" si="0"/>
        <v>#VALUE!</v>
      </c>
      <c r="H60" t="e">
        <f t="shared" si="1"/>
        <v>#VALUE!</v>
      </c>
    </row>
    <row r="61" spans="1:8" x14ac:dyDescent="0.25">
      <c r="A61" t="s">
        <v>24</v>
      </c>
      <c r="B61" s="101" t="s">
        <v>208</v>
      </c>
      <c r="C61" s="46">
        <v>44347.401122685187</v>
      </c>
      <c r="D61" t="s">
        <v>147</v>
      </c>
      <c r="E61">
        <v>3</v>
      </c>
      <c r="F61" t="str">
        <f>VLOOKUP(A61*1,Table2[],5,TRUE)</f>
        <v>20:30:00</v>
      </c>
      <c r="G61" s="46" t="e">
        <f t="shared" si="0"/>
        <v>#VALUE!</v>
      </c>
      <c r="H61" t="e">
        <f t="shared" si="1"/>
        <v>#VALUE!</v>
      </c>
    </row>
    <row r="62" spans="1:8" x14ac:dyDescent="0.25">
      <c r="A62" t="s">
        <v>24</v>
      </c>
      <c r="B62" s="101" t="s">
        <v>208</v>
      </c>
      <c r="C62" s="46">
        <v>44347.401400462964</v>
      </c>
      <c r="D62" t="s">
        <v>147</v>
      </c>
      <c r="E62">
        <v>5</v>
      </c>
      <c r="F62" t="str">
        <f>VLOOKUP(A62*1,Table2[],5,TRUE)</f>
        <v>20:30:00</v>
      </c>
      <c r="G62" s="46" t="e">
        <f t="shared" si="0"/>
        <v>#VALUE!</v>
      </c>
      <c r="H62" t="e">
        <f t="shared" si="1"/>
        <v>#VALUE!</v>
      </c>
    </row>
    <row r="63" spans="1:8" x14ac:dyDescent="0.25">
      <c r="A63" t="s">
        <v>24</v>
      </c>
      <c r="B63" s="101" t="s">
        <v>208</v>
      </c>
      <c r="C63" s="46">
        <v>44347.402303240742</v>
      </c>
      <c r="D63" t="s">
        <v>147</v>
      </c>
      <c r="E63">
        <v>18.29</v>
      </c>
      <c r="F63" t="str">
        <f>VLOOKUP(A63*1,Table2[],5,TRUE)</f>
        <v>20:30:00</v>
      </c>
      <c r="G63" s="46" t="e">
        <f t="shared" si="0"/>
        <v>#VALUE!</v>
      </c>
      <c r="H63" t="e">
        <f t="shared" si="1"/>
        <v>#VALUE!</v>
      </c>
    </row>
    <row r="64" spans="1:8" x14ac:dyDescent="0.25">
      <c r="A64" t="s">
        <v>24</v>
      </c>
      <c r="B64" s="101" t="s">
        <v>208</v>
      </c>
      <c r="C64" s="46">
        <v>44347.402604166666</v>
      </c>
      <c r="D64" t="s">
        <v>146</v>
      </c>
      <c r="E64">
        <v>23.19</v>
      </c>
      <c r="F64" t="str">
        <f>VLOOKUP(A64*1,Table2[],5,TRUE)</f>
        <v>20:30:00</v>
      </c>
      <c r="G64" s="46" t="e">
        <f t="shared" si="0"/>
        <v>#VALUE!</v>
      </c>
      <c r="H64" t="e">
        <f t="shared" si="1"/>
        <v>#VALUE!</v>
      </c>
    </row>
    <row r="65" spans="1:8" x14ac:dyDescent="0.25">
      <c r="A65" t="s">
        <v>24</v>
      </c>
      <c r="B65" s="101" t="s">
        <v>208</v>
      </c>
      <c r="C65" s="46">
        <v>44347.402928240743</v>
      </c>
      <c r="D65" t="s">
        <v>147</v>
      </c>
      <c r="E65">
        <v>14.19</v>
      </c>
      <c r="F65" t="str">
        <f>VLOOKUP(A65*1,Table2[],5,TRUE)</f>
        <v>20:30:00</v>
      </c>
      <c r="G65" s="46" t="e">
        <f t="shared" si="0"/>
        <v>#VALUE!</v>
      </c>
      <c r="H65" t="e">
        <f t="shared" si="1"/>
        <v>#VALUE!</v>
      </c>
    </row>
    <row r="66" spans="1:8" x14ac:dyDescent="0.25">
      <c r="A66" t="s">
        <v>24</v>
      </c>
      <c r="B66" s="101" t="s">
        <v>208</v>
      </c>
      <c r="C66" s="46">
        <v>44347.404120370367</v>
      </c>
      <c r="D66" t="s">
        <v>147</v>
      </c>
      <c r="E66">
        <v>12.19</v>
      </c>
      <c r="F66" t="str">
        <f>VLOOKUP(A66*1,Table2[],5,TRUE)</f>
        <v>20:30:00</v>
      </c>
      <c r="G66" s="46" t="e">
        <f t="shared" ref="G66:G129" si="2">DATEVALUE(TEXT($L$2-1,"DD/MM/YYYY"))+TIMEVALUE(TEXT(F66,"HH:MM:SS"))</f>
        <v>#VALUE!</v>
      </c>
      <c r="H66" t="e">
        <f t="shared" ref="H66:H129" si="3">IF(C66&lt;G66,"Before Bank Cut Off",IF(C66&gt;=DATEVALUE($L$2),"After Midnight","In Between"))</f>
        <v>#VALUE!</v>
      </c>
    </row>
    <row r="67" spans="1:8" x14ac:dyDescent="0.25">
      <c r="A67" t="s">
        <v>24</v>
      </c>
      <c r="B67" s="101" t="s">
        <v>208</v>
      </c>
      <c r="C67" s="46">
        <v>44347.405624999999</v>
      </c>
      <c r="D67" t="s">
        <v>146</v>
      </c>
      <c r="E67">
        <v>22.98</v>
      </c>
      <c r="F67" t="str">
        <f>VLOOKUP(A67*1,Table2[],5,TRUE)</f>
        <v>20:30:00</v>
      </c>
      <c r="G67" s="46" t="e">
        <f t="shared" si="2"/>
        <v>#VALUE!</v>
      </c>
      <c r="H67" t="e">
        <f t="shared" si="3"/>
        <v>#VALUE!</v>
      </c>
    </row>
    <row r="68" spans="1:8" x14ac:dyDescent="0.25">
      <c r="A68" t="s">
        <v>24</v>
      </c>
      <c r="B68" s="101" t="s">
        <v>208</v>
      </c>
      <c r="C68" s="46">
        <v>44347.406099537038</v>
      </c>
      <c r="D68" t="s">
        <v>147</v>
      </c>
      <c r="E68">
        <v>13</v>
      </c>
      <c r="F68" t="str">
        <f>VLOOKUP(A68*1,Table2[],5,TRUE)</f>
        <v>20:30:00</v>
      </c>
      <c r="G68" s="46" t="e">
        <f t="shared" si="2"/>
        <v>#VALUE!</v>
      </c>
      <c r="H68" t="e">
        <f t="shared" si="3"/>
        <v>#VALUE!</v>
      </c>
    </row>
    <row r="69" spans="1:8" x14ac:dyDescent="0.25">
      <c r="A69" t="s">
        <v>24</v>
      </c>
      <c r="B69" s="101" t="s">
        <v>217</v>
      </c>
      <c r="C69" s="46">
        <v>44347.40693287037</v>
      </c>
      <c r="D69" t="s">
        <v>148</v>
      </c>
      <c r="E69">
        <v>7.99</v>
      </c>
      <c r="F69" t="str">
        <f>VLOOKUP(A69*1,Table2[],5,TRUE)</f>
        <v>20:30:00</v>
      </c>
      <c r="G69" s="46" t="e">
        <f t="shared" si="2"/>
        <v>#VALUE!</v>
      </c>
      <c r="H69" t="e">
        <f t="shared" si="3"/>
        <v>#VALUE!</v>
      </c>
    </row>
    <row r="70" spans="1:8" x14ac:dyDescent="0.25">
      <c r="A70" t="s">
        <v>24</v>
      </c>
      <c r="B70" s="101" t="s">
        <v>217</v>
      </c>
      <c r="C70" s="46">
        <v>44347.40960648148</v>
      </c>
      <c r="D70" t="s">
        <v>147</v>
      </c>
      <c r="E70">
        <v>9.99</v>
      </c>
      <c r="F70" t="str">
        <f>VLOOKUP(A70*1,Table2[],5,TRUE)</f>
        <v>20:30:00</v>
      </c>
      <c r="G70" s="46" t="e">
        <f t="shared" si="2"/>
        <v>#VALUE!</v>
      </c>
      <c r="H70" t="e">
        <f t="shared" si="3"/>
        <v>#VALUE!</v>
      </c>
    </row>
    <row r="71" spans="1:8" x14ac:dyDescent="0.25">
      <c r="A71" t="s">
        <v>24</v>
      </c>
      <c r="B71" s="101" t="s">
        <v>217</v>
      </c>
      <c r="C71" s="46">
        <v>44347.41</v>
      </c>
      <c r="D71" t="s">
        <v>147</v>
      </c>
      <c r="E71">
        <v>18.98</v>
      </c>
      <c r="F71" t="str">
        <f>VLOOKUP(A71*1,Table2[],5,TRUE)</f>
        <v>20:30:00</v>
      </c>
      <c r="G71" s="46" t="e">
        <f t="shared" si="2"/>
        <v>#VALUE!</v>
      </c>
      <c r="H71" t="e">
        <f t="shared" si="3"/>
        <v>#VALUE!</v>
      </c>
    </row>
    <row r="72" spans="1:8" x14ac:dyDescent="0.25">
      <c r="A72" t="s">
        <v>24</v>
      </c>
      <c r="B72" s="101" t="s">
        <v>217</v>
      </c>
      <c r="C72" s="46">
        <v>44347.410312499997</v>
      </c>
      <c r="D72" t="s">
        <v>147</v>
      </c>
      <c r="E72">
        <v>10.55</v>
      </c>
      <c r="F72" t="str">
        <f>VLOOKUP(A72*1,Table2[],5,TRUE)</f>
        <v>20:30:00</v>
      </c>
      <c r="G72" s="46" t="e">
        <f t="shared" si="2"/>
        <v>#VALUE!</v>
      </c>
      <c r="H72" t="e">
        <f t="shared" si="3"/>
        <v>#VALUE!</v>
      </c>
    </row>
    <row r="73" spans="1:8" x14ac:dyDescent="0.25">
      <c r="A73" t="s">
        <v>24</v>
      </c>
      <c r="B73" s="101" t="s">
        <v>217</v>
      </c>
      <c r="C73" s="46">
        <v>44347.41065972222</v>
      </c>
      <c r="D73" t="s">
        <v>148</v>
      </c>
      <c r="E73">
        <v>37.49</v>
      </c>
      <c r="F73" t="str">
        <f>VLOOKUP(A73*1,Table2[],5,TRUE)</f>
        <v>20:30:00</v>
      </c>
      <c r="G73" s="46" t="e">
        <f t="shared" si="2"/>
        <v>#VALUE!</v>
      </c>
      <c r="H73" t="e">
        <f t="shared" si="3"/>
        <v>#VALUE!</v>
      </c>
    </row>
    <row r="74" spans="1:8" x14ac:dyDescent="0.25">
      <c r="A74" t="s">
        <v>24</v>
      </c>
      <c r="B74" s="101" t="s">
        <v>217</v>
      </c>
      <c r="C74" s="46">
        <v>44347.411249999997</v>
      </c>
      <c r="D74" t="s">
        <v>146</v>
      </c>
      <c r="E74">
        <v>49.95</v>
      </c>
      <c r="F74" t="str">
        <f>VLOOKUP(A74*1,Table2[],5,TRUE)</f>
        <v>20:30:00</v>
      </c>
      <c r="G74" s="46" t="e">
        <f t="shared" si="2"/>
        <v>#VALUE!</v>
      </c>
      <c r="H74" t="e">
        <f t="shared" si="3"/>
        <v>#VALUE!</v>
      </c>
    </row>
    <row r="75" spans="1:8" x14ac:dyDescent="0.25">
      <c r="A75" t="s">
        <v>24</v>
      </c>
      <c r="B75" s="101" t="s">
        <v>217</v>
      </c>
      <c r="C75" s="46">
        <v>44347.411527777775</v>
      </c>
      <c r="D75" t="s">
        <v>147</v>
      </c>
      <c r="E75">
        <v>13.15</v>
      </c>
      <c r="F75" t="str">
        <f>VLOOKUP(A75*1,Table2[],5,TRUE)</f>
        <v>20:30:00</v>
      </c>
      <c r="G75" s="46" t="e">
        <f t="shared" si="2"/>
        <v>#VALUE!</v>
      </c>
      <c r="H75" t="e">
        <f t="shared" si="3"/>
        <v>#VALUE!</v>
      </c>
    </row>
    <row r="76" spans="1:8" x14ac:dyDescent="0.25">
      <c r="A76" t="s">
        <v>24</v>
      </c>
      <c r="B76" s="101" t="s">
        <v>217</v>
      </c>
      <c r="C76" s="46">
        <v>44347.412662037037</v>
      </c>
      <c r="D76" t="s">
        <v>147</v>
      </c>
      <c r="E76">
        <v>6</v>
      </c>
      <c r="F76" t="str">
        <f>VLOOKUP(A76*1,Table2[],5,TRUE)</f>
        <v>20:30:00</v>
      </c>
      <c r="G76" s="46" t="e">
        <f t="shared" si="2"/>
        <v>#VALUE!</v>
      </c>
      <c r="H76" t="e">
        <f t="shared" si="3"/>
        <v>#VALUE!</v>
      </c>
    </row>
    <row r="77" spans="1:8" x14ac:dyDescent="0.25">
      <c r="A77" t="s">
        <v>24</v>
      </c>
      <c r="B77" s="101" t="s">
        <v>217</v>
      </c>
      <c r="C77" s="46">
        <v>44347.412939814814</v>
      </c>
      <c r="D77" t="s">
        <v>146</v>
      </c>
      <c r="E77">
        <v>6.2</v>
      </c>
      <c r="F77" t="str">
        <f>VLOOKUP(A77*1,Table2[],5,TRUE)</f>
        <v>20:30:00</v>
      </c>
      <c r="G77" s="46" t="e">
        <f t="shared" si="2"/>
        <v>#VALUE!</v>
      </c>
      <c r="H77" t="e">
        <f t="shared" si="3"/>
        <v>#VALUE!</v>
      </c>
    </row>
    <row r="78" spans="1:8" x14ac:dyDescent="0.25">
      <c r="A78" t="s">
        <v>24</v>
      </c>
      <c r="B78" s="101" t="s">
        <v>217</v>
      </c>
      <c r="C78" s="46">
        <v>44347.413483796299</v>
      </c>
      <c r="D78" t="s">
        <v>146</v>
      </c>
      <c r="E78">
        <v>57.07</v>
      </c>
      <c r="F78" t="str">
        <f>VLOOKUP(A78*1,Table2[],5,TRUE)</f>
        <v>20:30:00</v>
      </c>
      <c r="G78" s="46" t="e">
        <f t="shared" si="2"/>
        <v>#VALUE!</v>
      </c>
      <c r="H78" t="e">
        <f t="shared" si="3"/>
        <v>#VALUE!</v>
      </c>
    </row>
    <row r="79" spans="1:8" x14ac:dyDescent="0.25">
      <c r="A79" t="s">
        <v>24</v>
      </c>
      <c r="B79" s="101" t="s">
        <v>217</v>
      </c>
      <c r="C79" s="46">
        <v>44347.414224537039</v>
      </c>
      <c r="D79" t="s">
        <v>148</v>
      </c>
      <c r="E79">
        <v>29.95</v>
      </c>
      <c r="F79" t="str">
        <f>VLOOKUP(A79*1,Table2[],5,TRUE)</f>
        <v>20:30:00</v>
      </c>
      <c r="G79" s="46" t="e">
        <f t="shared" si="2"/>
        <v>#VALUE!</v>
      </c>
      <c r="H79" t="e">
        <f t="shared" si="3"/>
        <v>#VALUE!</v>
      </c>
    </row>
    <row r="80" spans="1:8" x14ac:dyDescent="0.25">
      <c r="A80" t="s">
        <v>24</v>
      </c>
      <c r="B80" s="101" t="s">
        <v>217</v>
      </c>
      <c r="C80" s="46">
        <v>44347.414722222224</v>
      </c>
      <c r="D80" t="s">
        <v>147</v>
      </c>
      <c r="E80">
        <v>3.99</v>
      </c>
      <c r="F80" t="str">
        <f>VLOOKUP(A80*1,Table2[],5,TRUE)</f>
        <v>20:30:00</v>
      </c>
      <c r="G80" s="46" t="e">
        <f t="shared" si="2"/>
        <v>#VALUE!</v>
      </c>
      <c r="H80" t="e">
        <f t="shared" si="3"/>
        <v>#VALUE!</v>
      </c>
    </row>
    <row r="81" spans="1:8" x14ac:dyDescent="0.25">
      <c r="A81" t="s">
        <v>24</v>
      </c>
      <c r="B81" s="101" t="s">
        <v>217</v>
      </c>
      <c r="C81" s="46">
        <v>44347.415081018517</v>
      </c>
      <c r="D81" t="s">
        <v>147</v>
      </c>
      <c r="E81">
        <v>15.15</v>
      </c>
      <c r="F81" t="str">
        <f>VLOOKUP(A81*1,Table2[],5,TRUE)</f>
        <v>20:30:00</v>
      </c>
      <c r="G81" s="46" t="e">
        <f t="shared" si="2"/>
        <v>#VALUE!</v>
      </c>
      <c r="H81" t="e">
        <f t="shared" si="3"/>
        <v>#VALUE!</v>
      </c>
    </row>
    <row r="82" spans="1:8" x14ac:dyDescent="0.25">
      <c r="A82" t="s">
        <v>24</v>
      </c>
      <c r="B82" s="101" t="s">
        <v>217</v>
      </c>
      <c r="C82" s="46">
        <v>44347.415381944447</v>
      </c>
      <c r="D82" t="s">
        <v>146</v>
      </c>
      <c r="E82">
        <v>12.2</v>
      </c>
      <c r="F82" t="str">
        <f>VLOOKUP(A82*1,Table2[],5,TRUE)</f>
        <v>20:30:00</v>
      </c>
      <c r="G82" s="46" t="e">
        <f t="shared" si="2"/>
        <v>#VALUE!</v>
      </c>
      <c r="H82" t="e">
        <f t="shared" si="3"/>
        <v>#VALUE!</v>
      </c>
    </row>
    <row r="83" spans="1:8" x14ac:dyDescent="0.25">
      <c r="A83" t="s">
        <v>24</v>
      </c>
      <c r="B83" s="101" t="s">
        <v>217</v>
      </c>
      <c r="C83" s="46">
        <v>44347.41578703704</v>
      </c>
      <c r="D83" t="s">
        <v>147</v>
      </c>
      <c r="E83">
        <v>17.7</v>
      </c>
      <c r="F83" t="str">
        <f>VLOOKUP(A83*1,Table2[],5,TRUE)</f>
        <v>20:30:00</v>
      </c>
      <c r="G83" s="46" t="e">
        <f t="shared" si="2"/>
        <v>#VALUE!</v>
      </c>
      <c r="H83" t="e">
        <f t="shared" si="3"/>
        <v>#VALUE!</v>
      </c>
    </row>
    <row r="84" spans="1:8" x14ac:dyDescent="0.25">
      <c r="A84" t="s">
        <v>24</v>
      </c>
      <c r="B84" s="101" t="s">
        <v>217</v>
      </c>
      <c r="C84" s="46">
        <v>44347.416539351849</v>
      </c>
      <c r="D84" t="s">
        <v>147</v>
      </c>
      <c r="E84">
        <v>20.79</v>
      </c>
      <c r="F84" t="str">
        <f>VLOOKUP(A84*1,Table2[],5,TRUE)</f>
        <v>20:30:00</v>
      </c>
      <c r="G84" s="46" t="e">
        <f t="shared" si="2"/>
        <v>#VALUE!</v>
      </c>
      <c r="H84" t="e">
        <f t="shared" si="3"/>
        <v>#VALUE!</v>
      </c>
    </row>
    <row r="85" spans="1:8" x14ac:dyDescent="0.25">
      <c r="A85" t="s">
        <v>24</v>
      </c>
      <c r="B85" s="101" t="s">
        <v>217</v>
      </c>
      <c r="C85" s="46">
        <v>44347.416828703703</v>
      </c>
      <c r="D85" t="s">
        <v>147</v>
      </c>
      <c r="E85">
        <v>7</v>
      </c>
      <c r="F85" t="str">
        <f>VLOOKUP(A85*1,Table2[],5,TRUE)</f>
        <v>20:30:00</v>
      </c>
      <c r="G85" s="46" t="e">
        <f t="shared" si="2"/>
        <v>#VALUE!</v>
      </c>
      <c r="H85" t="e">
        <f t="shared" si="3"/>
        <v>#VALUE!</v>
      </c>
    </row>
    <row r="86" spans="1:8" x14ac:dyDescent="0.25">
      <c r="A86" t="s">
        <v>24</v>
      </c>
      <c r="B86" s="101" t="s">
        <v>217</v>
      </c>
      <c r="C86" s="46">
        <v>44347.417372685188</v>
      </c>
      <c r="D86" t="s">
        <v>146</v>
      </c>
      <c r="E86">
        <v>110.08</v>
      </c>
      <c r="F86" t="str">
        <f>VLOOKUP(A86*1,Table2[],5,TRUE)</f>
        <v>20:30:00</v>
      </c>
      <c r="G86" s="46" t="e">
        <f t="shared" si="2"/>
        <v>#VALUE!</v>
      </c>
      <c r="H86" t="e">
        <f t="shared" si="3"/>
        <v>#VALUE!</v>
      </c>
    </row>
    <row r="87" spans="1:8" x14ac:dyDescent="0.25">
      <c r="A87" t="s">
        <v>24</v>
      </c>
      <c r="B87" s="101" t="s">
        <v>217</v>
      </c>
      <c r="C87" s="46">
        <v>44347.417905092596</v>
      </c>
      <c r="D87" t="s">
        <v>146</v>
      </c>
      <c r="E87">
        <v>3</v>
      </c>
      <c r="F87" t="str">
        <f>VLOOKUP(A87*1,Table2[],5,TRUE)</f>
        <v>20:30:00</v>
      </c>
      <c r="G87" s="46" t="e">
        <f t="shared" si="2"/>
        <v>#VALUE!</v>
      </c>
      <c r="H87" t="e">
        <f t="shared" si="3"/>
        <v>#VALUE!</v>
      </c>
    </row>
    <row r="88" spans="1:8" x14ac:dyDescent="0.25">
      <c r="A88" t="s">
        <v>24</v>
      </c>
      <c r="B88" s="101" t="s">
        <v>217</v>
      </c>
      <c r="C88" s="46">
        <v>44347.418414351851</v>
      </c>
      <c r="D88" t="s">
        <v>147</v>
      </c>
      <c r="E88">
        <v>12.99</v>
      </c>
      <c r="F88" t="str">
        <f>VLOOKUP(A88*1,Table2[],5,TRUE)</f>
        <v>20:30:00</v>
      </c>
      <c r="G88" s="46" t="e">
        <f t="shared" si="2"/>
        <v>#VALUE!</v>
      </c>
      <c r="H88" t="e">
        <f t="shared" si="3"/>
        <v>#VALUE!</v>
      </c>
    </row>
    <row r="89" spans="1:8" x14ac:dyDescent="0.25">
      <c r="A89" t="s">
        <v>24</v>
      </c>
      <c r="B89" s="101" t="s">
        <v>208</v>
      </c>
      <c r="C89" s="46">
        <v>44347.420555555553</v>
      </c>
      <c r="D89" t="s">
        <v>147</v>
      </c>
      <c r="E89">
        <v>6.2</v>
      </c>
      <c r="F89" t="str">
        <f>VLOOKUP(A89*1,Table2[],5,TRUE)</f>
        <v>20:30:00</v>
      </c>
      <c r="G89" s="46" t="e">
        <f t="shared" si="2"/>
        <v>#VALUE!</v>
      </c>
      <c r="H89" t="e">
        <f t="shared" si="3"/>
        <v>#VALUE!</v>
      </c>
    </row>
    <row r="90" spans="1:8" x14ac:dyDescent="0.25">
      <c r="A90" t="s">
        <v>24</v>
      </c>
      <c r="B90" s="101" t="s">
        <v>208</v>
      </c>
      <c r="C90" s="46">
        <v>44347.420775462961</v>
      </c>
      <c r="D90" t="s">
        <v>146</v>
      </c>
      <c r="E90">
        <v>9.4</v>
      </c>
      <c r="F90" t="str">
        <f>VLOOKUP(A90*1,Table2[],5,TRUE)</f>
        <v>20:30:00</v>
      </c>
      <c r="G90" s="46" t="e">
        <f t="shared" si="2"/>
        <v>#VALUE!</v>
      </c>
      <c r="H90" t="e">
        <f t="shared" si="3"/>
        <v>#VALUE!</v>
      </c>
    </row>
    <row r="91" spans="1:8" x14ac:dyDescent="0.25">
      <c r="A91" t="s">
        <v>24</v>
      </c>
      <c r="B91" s="101" t="s">
        <v>208</v>
      </c>
      <c r="C91" s="46">
        <v>44347.420995370368</v>
      </c>
      <c r="D91" t="s">
        <v>147</v>
      </c>
      <c r="E91">
        <v>10.1</v>
      </c>
      <c r="F91" t="str">
        <f>VLOOKUP(A91*1,Table2[],5,TRUE)</f>
        <v>20:30:00</v>
      </c>
      <c r="G91" s="46" t="e">
        <f t="shared" si="2"/>
        <v>#VALUE!</v>
      </c>
      <c r="H91" t="e">
        <f t="shared" si="3"/>
        <v>#VALUE!</v>
      </c>
    </row>
    <row r="92" spans="1:8" x14ac:dyDescent="0.25">
      <c r="A92" t="s">
        <v>24</v>
      </c>
      <c r="B92" s="101" t="s">
        <v>208</v>
      </c>
      <c r="C92" s="46">
        <v>44347.421226851853</v>
      </c>
      <c r="D92" t="s">
        <v>146</v>
      </c>
      <c r="E92">
        <v>9.99</v>
      </c>
      <c r="F92" t="str">
        <f>VLOOKUP(A92*1,Table2[],5,TRUE)</f>
        <v>20:30:00</v>
      </c>
      <c r="G92" s="46" t="e">
        <f t="shared" si="2"/>
        <v>#VALUE!</v>
      </c>
      <c r="H92" t="e">
        <f t="shared" si="3"/>
        <v>#VALUE!</v>
      </c>
    </row>
    <row r="93" spans="1:8" x14ac:dyDescent="0.25">
      <c r="A93" t="s">
        <v>24</v>
      </c>
      <c r="B93" s="101" t="s">
        <v>217</v>
      </c>
      <c r="C93" s="46">
        <v>44347.422337962962</v>
      </c>
      <c r="D93" t="s">
        <v>147</v>
      </c>
      <c r="E93">
        <v>11.1</v>
      </c>
      <c r="F93" t="str">
        <f>VLOOKUP(A93*1,Table2[],5,TRUE)</f>
        <v>20:30:00</v>
      </c>
      <c r="G93" s="46" t="e">
        <f t="shared" si="2"/>
        <v>#VALUE!</v>
      </c>
      <c r="H93" t="e">
        <f t="shared" si="3"/>
        <v>#VALUE!</v>
      </c>
    </row>
    <row r="94" spans="1:8" x14ac:dyDescent="0.25">
      <c r="A94" t="s">
        <v>24</v>
      </c>
      <c r="B94" s="101" t="s">
        <v>208</v>
      </c>
      <c r="C94" s="46">
        <v>44347.422708333332</v>
      </c>
      <c r="D94" t="s">
        <v>148</v>
      </c>
      <c r="E94">
        <v>14.99</v>
      </c>
      <c r="F94" t="str">
        <f>VLOOKUP(A94*1,Table2[],5,TRUE)</f>
        <v>20:30:00</v>
      </c>
      <c r="G94" s="46" t="e">
        <f t="shared" si="2"/>
        <v>#VALUE!</v>
      </c>
      <c r="H94" t="e">
        <f t="shared" si="3"/>
        <v>#VALUE!</v>
      </c>
    </row>
    <row r="95" spans="1:8" x14ac:dyDescent="0.25">
      <c r="A95" t="s">
        <v>24</v>
      </c>
      <c r="B95" s="101" t="s">
        <v>217</v>
      </c>
      <c r="C95" s="46">
        <v>44347.422731481478</v>
      </c>
      <c r="D95" t="s">
        <v>147</v>
      </c>
      <c r="E95">
        <v>12</v>
      </c>
      <c r="F95" t="str">
        <f>VLOOKUP(A95*1,Table2[],5,TRUE)</f>
        <v>20:30:00</v>
      </c>
      <c r="G95" s="46" t="e">
        <f t="shared" si="2"/>
        <v>#VALUE!</v>
      </c>
      <c r="H95" t="e">
        <f t="shared" si="3"/>
        <v>#VALUE!</v>
      </c>
    </row>
    <row r="96" spans="1:8" x14ac:dyDescent="0.25">
      <c r="A96" t="s">
        <v>24</v>
      </c>
      <c r="B96" s="101" t="s">
        <v>208</v>
      </c>
      <c r="C96" s="46">
        <v>44347.422962962963</v>
      </c>
      <c r="D96" t="s">
        <v>147</v>
      </c>
      <c r="E96">
        <v>14.99</v>
      </c>
      <c r="F96" t="str">
        <f>VLOOKUP(A96*1,Table2[],5,TRUE)</f>
        <v>20:30:00</v>
      </c>
      <c r="G96" s="46" t="e">
        <f t="shared" si="2"/>
        <v>#VALUE!</v>
      </c>
      <c r="H96" t="e">
        <f t="shared" si="3"/>
        <v>#VALUE!</v>
      </c>
    </row>
    <row r="98" spans="1:8" x14ac:dyDescent="0.25">
      <c r="A98" t="s">
        <v>24</v>
      </c>
      <c r="B98" s="101" t="s">
        <v>208</v>
      </c>
      <c r="C98" s="46">
        <v>44347.423587962963</v>
      </c>
      <c r="D98" t="s">
        <v>148</v>
      </c>
      <c r="E98">
        <v>34.99</v>
      </c>
      <c r="F98" t="str">
        <f>VLOOKUP(A98*1,Table2[],5,TRUE)</f>
        <v>20:30:00</v>
      </c>
      <c r="G98" s="46" t="e">
        <f t="shared" si="2"/>
        <v>#VALUE!</v>
      </c>
      <c r="H98" t="e">
        <f t="shared" si="3"/>
        <v>#VALUE!</v>
      </c>
    </row>
    <row r="99" spans="1:8" x14ac:dyDescent="0.25">
      <c r="A99" t="s">
        <v>24</v>
      </c>
      <c r="B99" s="101" t="s">
        <v>217</v>
      </c>
      <c r="C99" s="46">
        <v>44347.424270833333</v>
      </c>
      <c r="D99" t="s">
        <v>147</v>
      </c>
      <c r="E99">
        <v>7</v>
      </c>
      <c r="F99" t="str">
        <f>VLOOKUP(A99*1,Table2[],5,TRUE)</f>
        <v>20:30:00</v>
      </c>
      <c r="G99" s="46" t="e">
        <f t="shared" si="2"/>
        <v>#VALUE!</v>
      </c>
      <c r="H99" t="e">
        <f t="shared" si="3"/>
        <v>#VALUE!</v>
      </c>
    </row>
    <row r="100" spans="1:8" x14ac:dyDescent="0.25">
      <c r="A100" t="s">
        <v>24</v>
      </c>
      <c r="B100" s="101" t="s">
        <v>208</v>
      </c>
      <c r="C100" s="46">
        <v>44347.425775462965</v>
      </c>
      <c r="D100" t="s">
        <v>147</v>
      </c>
      <c r="E100">
        <v>9.98</v>
      </c>
      <c r="F100" t="str">
        <f>VLOOKUP(A100*1,Table2[],5,TRUE)</f>
        <v>20:30:00</v>
      </c>
      <c r="G100" s="46" t="e">
        <f t="shared" si="2"/>
        <v>#VALUE!</v>
      </c>
      <c r="H100" t="e">
        <f t="shared" si="3"/>
        <v>#VALUE!</v>
      </c>
    </row>
    <row r="101" spans="1:8" x14ac:dyDescent="0.25">
      <c r="A101" t="s">
        <v>24</v>
      </c>
      <c r="B101" s="101" t="s">
        <v>208</v>
      </c>
      <c r="C101" s="46">
        <v>44347.426585648151</v>
      </c>
      <c r="D101" t="s">
        <v>148</v>
      </c>
      <c r="E101">
        <v>22.58</v>
      </c>
      <c r="F101" t="str">
        <f>VLOOKUP(A101*1,Table2[],5,TRUE)</f>
        <v>20:30:00</v>
      </c>
      <c r="G101" s="46" t="e">
        <f t="shared" si="2"/>
        <v>#VALUE!</v>
      </c>
      <c r="H101" t="e">
        <f t="shared" si="3"/>
        <v>#VALUE!</v>
      </c>
    </row>
    <row r="102" spans="1:8" x14ac:dyDescent="0.25">
      <c r="A102" t="s">
        <v>24</v>
      </c>
      <c r="B102" s="101" t="s">
        <v>208</v>
      </c>
      <c r="C102" s="46">
        <v>44347.427025462966</v>
      </c>
      <c r="D102" t="s">
        <v>147</v>
      </c>
      <c r="E102">
        <v>8.8000000000000007</v>
      </c>
      <c r="F102" t="str">
        <f>VLOOKUP(A102*1,Table2[],5,TRUE)</f>
        <v>20:30:00</v>
      </c>
      <c r="G102" s="46" t="e">
        <f t="shared" si="2"/>
        <v>#VALUE!</v>
      </c>
      <c r="H102" t="e">
        <f t="shared" si="3"/>
        <v>#VALUE!</v>
      </c>
    </row>
    <row r="103" spans="1:8" x14ac:dyDescent="0.25">
      <c r="A103" t="s">
        <v>24</v>
      </c>
      <c r="B103" s="101" t="s">
        <v>208</v>
      </c>
      <c r="C103" s="46">
        <v>44347.427476851852</v>
      </c>
      <c r="D103" t="s">
        <v>148</v>
      </c>
      <c r="E103">
        <v>172.29</v>
      </c>
      <c r="F103" t="str">
        <f>VLOOKUP(A103*1,Table2[],5,TRUE)</f>
        <v>20:30:00</v>
      </c>
      <c r="G103" s="46" t="e">
        <f t="shared" si="2"/>
        <v>#VALUE!</v>
      </c>
      <c r="H103" t="e">
        <f t="shared" si="3"/>
        <v>#VALUE!</v>
      </c>
    </row>
    <row r="104" spans="1:8" x14ac:dyDescent="0.25">
      <c r="A104" t="s">
        <v>24</v>
      </c>
      <c r="B104" s="101" t="s">
        <v>208</v>
      </c>
      <c r="C104" s="46">
        <v>44347.427800925929</v>
      </c>
      <c r="D104" t="s">
        <v>147</v>
      </c>
      <c r="E104">
        <v>11</v>
      </c>
      <c r="F104" t="str">
        <f>VLOOKUP(A104*1,Table2[],5,TRUE)</f>
        <v>20:30:00</v>
      </c>
      <c r="G104" s="46" t="e">
        <f t="shared" si="2"/>
        <v>#VALUE!</v>
      </c>
      <c r="H104" t="e">
        <f t="shared" si="3"/>
        <v>#VALUE!</v>
      </c>
    </row>
    <row r="105" spans="1:8" x14ac:dyDescent="0.25">
      <c r="A105" t="s">
        <v>24</v>
      </c>
      <c r="B105" s="101" t="s">
        <v>208</v>
      </c>
      <c r="C105" s="46">
        <v>44347.428020833337</v>
      </c>
      <c r="D105" t="s">
        <v>146</v>
      </c>
      <c r="E105">
        <v>8.5</v>
      </c>
      <c r="F105" t="str">
        <f>VLOOKUP(A105*1,Table2[],5,TRUE)</f>
        <v>20:30:00</v>
      </c>
      <c r="G105" s="46" t="e">
        <f t="shared" si="2"/>
        <v>#VALUE!</v>
      </c>
      <c r="H105" t="e">
        <f t="shared" si="3"/>
        <v>#VALUE!</v>
      </c>
    </row>
    <row r="106" spans="1:8" x14ac:dyDescent="0.25">
      <c r="A106" t="s">
        <v>24</v>
      </c>
      <c r="B106" s="101" t="s">
        <v>208</v>
      </c>
      <c r="C106" s="46">
        <v>44347.428402777776</v>
      </c>
      <c r="D106" t="s">
        <v>147</v>
      </c>
      <c r="E106">
        <v>73.489999999999995</v>
      </c>
      <c r="F106" t="str">
        <f>VLOOKUP(A106*1,Table2[],5,TRUE)</f>
        <v>20:30:00</v>
      </c>
      <c r="G106" s="46" t="e">
        <f t="shared" si="2"/>
        <v>#VALUE!</v>
      </c>
      <c r="H106" t="e">
        <f t="shared" si="3"/>
        <v>#VALUE!</v>
      </c>
    </row>
    <row r="107" spans="1:8" x14ac:dyDescent="0.25">
      <c r="A107" t="s">
        <v>24</v>
      </c>
      <c r="B107" s="101" t="s">
        <v>208</v>
      </c>
      <c r="C107" s="46">
        <v>44347.42863425926</v>
      </c>
      <c r="D107" t="s">
        <v>147</v>
      </c>
      <c r="E107">
        <v>59.98</v>
      </c>
      <c r="F107" t="str">
        <f>VLOOKUP(A107*1,Table2[],5,TRUE)</f>
        <v>20:30:00</v>
      </c>
      <c r="G107" s="46" t="e">
        <f t="shared" si="2"/>
        <v>#VALUE!</v>
      </c>
      <c r="H107" t="e">
        <f t="shared" si="3"/>
        <v>#VALUE!</v>
      </c>
    </row>
    <row r="108" spans="1:8" x14ac:dyDescent="0.25">
      <c r="A108" t="s">
        <v>24</v>
      </c>
      <c r="B108" s="101" t="s">
        <v>208</v>
      </c>
      <c r="C108" s="46">
        <v>44347.429120370369</v>
      </c>
      <c r="D108" t="s">
        <v>147</v>
      </c>
      <c r="E108">
        <v>23.39</v>
      </c>
      <c r="F108" t="str">
        <f>VLOOKUP(A108*1,Table2[],5,TRUE)</f>
        <v>20:30:00</v>
      </c>
      <c r="G108" s="46" t="e">
        <f t="shared" si="2"/>
        <v>#VALUE!</v>
      </c>
      <c r="H108" t="e">
        <f t="shared" si="3"/>
        <v>#VALUE!</v>
      </c>
    </row>
    <row r="109" spans="1:8" x14ac:dyDescent="0.25">
      <c r="A109" t="s">
        <v>24</v>
      </c>
      <c r="B109" s="101" t="s">
        <v>208</v>
      </c>
      <c r="C109" s="46">
        <v>44347.429571759261</v>
      </c>
      <c r="D109" t="s">
        <v>148</v>
      </c>
      <c r="E109">
        <v>34.590000000000003</v>
      </c>
      <c r="F109" t="str">
        <f>VLOOKUP(A109*1,Table2[],5,TRUE)</f>
        <v>20:30:00</v>
      </c>
      <c r="G109" s="46" t="e">
        <f t="shared" si="2"/>
        <v>#VALUE!</v>
      </c>
      <c r="H109" t="e">
        <f t="shared" si="3"/>
        <v>#VALUE!</v>
      </c>
    </row>
    <row r="110" spans="1:8" x14ac:dyDescent="0.25">
      <c r="A110" t="s">
        <v>24</v>
      </c>
      <c r="B110" s="101" t="s">
        <v>217</v>
      </c>
      <c r="C110" s="46">
        <v>44347.430393518516</v>
      </c>
      <c r="D110" t="s">
        <v>147</v>
      </c>
      <c r="E110">
        <v>14.99</v>
      </c>
      <c r="F110" t="str">
        <f>VLOOKUP(A110*1,Table2[],5,TRUE)</f>
        <v>20:30:00</v>
      </c>
      <c r="G110" s="46" t="e">
        <f t="shared" si="2"/>
        <v>#VALUE!</v>
      </c>
      <c r="H110" t="e">
        <f t="shared" si="3"/>
        <v>#VALUE!</v>
      </c>
    </row>
    <row r="111" spans="1:8" x14ac:dyDescent="0.25">
      <c r="A111" t="s">
        <v>24</v>
      </c>
      <c r="B111" s="101" t="s">
        <v>208</v>
      </c>
      <c r="C111" s="46">
        <v>44347.43141203704</v>
      </c>
      <c r="D111" t="s">
        <v>148</v>
      </c>
      <c r="E111">
        <v>10.6</v>
      </c>
      <c r="F111" t="str">
        <f>VLOOKUP(A111*1,Table2[],5,TRUE)</f>
        <v>20:30:00</v>
      </c>
      <c r="G111" s="46" t="e">
        <f t="shared" si="2"/>
        <v>#VALUE!</v>
      </c>
      <c r="H111" t="e">
        <f t="shared" si="3"/>
        <v>#VALUE!</v>
      </c>
    </row>
    <row r="112" spans="1:8" x14ac:dyDescent="0.25">
      <c r="A112" t="s">
        <v>24</v>
      </c>
      <c r="B112" s="101" t="s">
        <v>208</v>
      </c>
      <c r="C112" s="46">
        <v>44347.43173611111</v>
      </c>
      <c r="D112" t="s">
        <v>147</v>
      </c>
      <c r="E112">
        <v>5</v>
      </c>
      <c r="F112" t="str">
        <f>VLOOKUP(A112*1,Table2[],5,TRUE)</f>
        <v>20:30:00</v>
      </c>
      <c r="G112" s="46" t="e">
        <f t="shared" si="2"/>
        <v>#VALUE!</v>
      </c>
      <c r="H112" t="e">
        <f t="shared" si="3"/>
        <v>#VALUE!</v>
      </c>
    </row>
    <row r="113" spans="1:8" x14ac:dyDescent="0.25">
      <c r="A113" t="s">
        <v>24</v>
      </c>
      <c r="B113" s="101" t="s">
        <v>217</v>
      </c>
      <c r="C113" s="46">
        <v>44347.432384259257</v>
      </c>
      <c r="D113" t="s">
        <v>146</v>
      </c>
      <c r="E113">
        <v>8</v>
      </c>
      <c r="F113" t="str">
        <f>VLOOKUP(A113*1,Table2[],5,TRUE)</f>
        <v>20:30:00</v>
      </c>
      <c r="G113" s="46" t="e">
        <f t="shared" si="2"/>
        <v>#VALUE!</v>
      </c>
      <c r="H113" t="e">
        <f t="shared" si="3"/>
        <v>#VALUE!</v>
      </c>
    </row>
    <row r="114" spans="1:8" x14ac:dyDescent="0.25">
      <c r="A114" t="s">
        <v>24</v>
      </c>
      <c r="B114" s="101" t="s">
        <v>208</v>
      </c>
      <c r="C114" s="46">
        <v>44347.432627314818</v>
      </c>
      <c r="D114" t="s">
        <v>146</v>
      </c>
      <c r="E114">
        <v>11.79</v>
      </c>
      <c r="F114" t="str">
        <f>VLOOKUP(A114*1,Table2[],5,TRUE)</f>
        <v>20:30:00</v>
      </c>
      <c r="G114" s="46" t="e">
        <f t="shared" si="2"/>
        <v>#VALUE!</v>
      </c>
      <c r="H114" t="e">
        <f t="shared" si="3"/>
        <v>#VALUE!</v>
      </c>
    </row>
    <row r="115" spans="1:8" x14ac:dyDescent="0.25">
      <c r="A115" t="s">
        <v>24</v>
      </c>
      <c r="B115" s="101" t="s">
        <v>208</v>
      </c>
      <c r="C115" s="46">
        <v>44347.43304398148</v>
      </c>
      <c r="D115" t="s">
        <v>148</v>
      </c>
      <c r="E115">
        <v>29.99</v>
      </c>
      <c r="F115" t="str">
        <f>VLOOKUP(A115*1,Table2[],5,TRUE)</f>
        <v>20:30:00</v>
      </c>
      <c r="G115" s="46" t="e">
        <f t="shared" si="2"/>
        <v>#VALUE!</v>
      </c>
      <c r="H115" t="e">
        <f t="shared" si="3"/>
        <v>#VALUE!</v>
      </c>
    </row>
    <row r="116" spans="1:8" x14ac:dyDescent="0.25">
      <c r="A116" t="s">
        <v>24</v>
      </c>
      <c r="B116" s="101" t="s">
        <v>217</v>
      </c>
      <c r="C116" s="46">
        <v>44347.433703703704</v>
      </c>
      <c r="D116" t="s">
        <v>146</v>
      </c>
      <c r="E116">
        <v>29.99</v>
      </c>
      <c r="F116" t="str">
        <f>VLOOKUP(A116*1,Table2[],5,TRUE)</f>
        <v>20:30:00</v>
      </c>
      <c r="G116" s="46" t="e">
        <f t="shared" si="2"/>
        <v>#VALUE!</v>
      </c>
      <c r="H116" t="e">
        <f t="shared" si="3"/>
        <v>#VALUE!</v>
      </c>
    </row>
    <row r="117" spans="1:8" x14ac:dyDescent="0.25">
      <c r="A117" t="s">
        <v>24</v>
      </c>
      <c r="B117" s="101" t="s">
        <v>217</v>
      </c>
      <c r="C117" s="46">
        <v>44347.434155092589</v>
      </c>
      <c r="D117" t="s">
        <v>146</v>
      </c>
      <c r="E117">
        <v>4.5999999999999996</v>
      </c>
      <c r="F117" t="str">
        <f>VLOOKUP(A117*1,Table2[],5,TRUE)</f>
        <v>20:30:00</v>
      </c>
      <c r="G117" s="46" t="e">
        <f t="shared" si="2"/>
        <v>#VALUE!</v>
      </c>
      <c r="H117" t="e">
        <f t="shared" si="3"/>
        <v>#VALUE!</v>
      </c>
    </row>
    <row r="118" spans="1:8" x14ac:dyDescent="0.25">
      <c r="A118" t="s">
        <v>24</v>
      </c>
      <c r="B118" s="101" t="s">
        <v>217</v>
      </c>
      <c r="C118" s="46">
        <v>44347.435011574074</v>
      </c>
      <c r="D118" t="s">
        <v>147</v>
      </c>
      <c r="E118">
        <v>19.95</v>
      </c>
      <c r="F118" t="str">
        <f>VLOOKUP(A118*1,Table2[],5,TRUE)</f>
        <v>20:30:00</v>
      </c>
      <c r="G118" s="46" t="e">
        <f t="shared" si="2"/>
        <v>#VALUE!</v>
      </c>
      <c r="H118" t="e">
        <f t="shared" si="3"/>
        <v>#VALUE!</v>
      </c>
    </row>
    <row r="119" spans="1:8" x14ac:dyDescent="0.25">
      <c r="A119" t="s">
        <v>24</v>
      </c>
      <c r="B119" s="101" t="s">
        <v>208</v>
      </c>
      <c r="C119" s="46">
        <v>44347.435046296298</v>
      </c>
      <c r="D119" t="s">
        <v>147</v>
      </c>
      <c r="E119">
        <v>38.97</v>
      </c>
      <c r="F119" t="str">
        <f>VLOOKUP(A119*1,Table2[],5,TRUE)</f>
        <v>20:30:00</v>
      </c>
      <c r="G119" s="46" t="e">
        <f t="shared" si="2"/>
        <v>#VALUE!</v>
      </c>
      <c r="H119" t="e">
        <f t="shared" si="3"/>
        <v>#VALUE!</v>
      </c>
    </row>
    <row r="120" spans="1:8" x14ac:dyDescent="0.25">
      <c r="A120" t="s">
        <v>24</v>
      </c>
      <c r="B120" s="101" t="s">
        <v>208</v>
      </c>
      <c r="C120" s="46">
        <v>44347.435497685183</v>
      </c>
      <c r="D120" t="s">
        <v>147</v>
      </c>
      <c r="E120">
        <v>7.99</v>
      </c>
      <c r="F120" t="str">
        <f>VLOOKUP(A120*1,Table2[],5,TRUE)</f>
        <v>20:30:00</v>
      </c>
      <c r="G120" s="46" t="e">
        <f t="shared" si="2"/>
        <v>#VALUE!</v>
      </c>
      <c r="H120" t="e">
        <f t="shared" si="3"/>
        <v>#VALUE!</v>
      </c>
    </row>
    <row r="121" spans="1:8" x14ac:dyDescent="0.25">
      <c r="A121" t="s">
        <v>24</v>
      </c>
      <c r="B121" s="101" t="s">
        <v>208</v>
      </c>
      <c r="C121" s="46">
        <v>44347.436099537037</v>
      </c>
      <c r="D121" t="s">
        <v>147</v>
      </c>
      <c r="E121">
        <v>4.5999999999999996</v>
      </c>
      <c r="F121" t="str">
        <f>VLOOKUP(A121*1,Table2[],5,TRUE)</f>
        <v>20:30:00</v>
      </c>
      <c r="G121" s="46" t="e">
        <f t="shared" si="2"/>
        <v>#VALUE!</v>
      </c>
      <c r="H121" t="e">
        <f t="shared" si="3"/>
        <v>#VALUE!</v>
      </c>
    </row>
    <row r="122" spans="1:8" x14ac:dyDescent="0.25">
      <c r="A122" t="s">
        <v>24</v>
      </c>
      <c r="B122" s="101" t="s">
        <v>208</v>
      </c>
      <c r="C122" s="46">
        <v>44347.436805555553</v>
      </c>
      <c r="D122" t="s">
        <v>148</v>
      </c>
      <c r="E122">
        <v>3</v>
      </c>
      <c r="F122" t="str">
        <f>VLOOKUP(A122*1,Table2[],5,TRUE)</f>
        <v>20:30:00</v>
      </c>
      <c r="G122" s="46" t="e">
        <f t="shared" si="2"/>
        <v>#VALUE!</v>
      </c>
      <c r="H122" t="e">
        <f t="shared" si="3"/>
        <v>#VALUE!</v>
      </c>
    </row>
    <row r="123" spans="1:8" x14ac:dyDescent="0.25">
      <c r="A123" t="s">
        <v>24</v>
      </c>
      <c r="B123" s="101" t="s">
        <v>208</v>
      </c>
      <c r="C123" s="46">
        <v>44347.437337962961</v>
      </c>
      <c r="D123" t="s">
        <v>147</v>
      </c>
      <c r="E123">
        <v>61.12</v>
      </c>
      <c r="F123" t="str">
        <f>VLOOKUP(A123*1,Table2[],5,TRUE)</f>
        <v>20:30:00</v>
      </c>
      <c r="G123" s="46" t="e">
        <f t="shared" si="2"/>
        <v>#VALUE!</v>
      </c>
      <c r="H123" t="e">
        <f t="shared" si="3"/>
        <v>#VALUE!</v>
      </c>
    </row>
    <row r="124" spans="1:8" x14ac:dyDescent="0.25">
      <c r="A124" t="s">
        <v>24</v>
      </c>
      <c r="B124" s="101" t="s">
        <v>208</v>
      </c>
      <c r="C124" s="46">
        <v>44347.437800925924</v>
      </c>
      <c r="D124" t="s">
        <v>146</v>
      </c>
      <c r="E124">
        <v>5</v>
      </c>
      <c r="F124" t="str">
        <f>VLOOKUP(A124*1,Table2[],5,TRUE)</f>
        <v>20:30:00</v>
      </c>
      <c r="G124" s="46" t="e">
        <f t="shared" si="2"/>
        <v>#VALUE!</v>
      </c>
      <c r="H124" t="e">
        <f t="shared" si="3"/>
        <v>#VALUE!</v>
      </c>
    </row>
    <row r="125" spans="1:8" x14ac:dyDescent="0.25">
      <c r="A125" t="s">
        <v>24</v>
      </c>
      <c r="B125" s="101" t="s">
        <v>208</v>
      </c>
      <c r="C125" s="46">
        <v>44347.438055555554</v>
      </c>
      <c r="D125" t="s">
        <v>147</v>
      </c>
      <c r="E125">
        <v>2.2000000000000002</v>
      </c>
      <c r="F125" t="str">
        <f>VLOOKUP(A125*1,Table2[],5,TRUE)</f>
        <v>20:30:00</v>
      </c>
      <c r="G125" s="46" t="e">
        <f t="shared" si="2"/>
        <v>#VALUE!</v>
      </c>
      <c r="H125" t="e">
        <f t="shared" si="3"/>
        <v>#VALUE!</v>
      </c>
    </row>
    <row r="126" spans="1:8" x14ac:dyDescent="0.25">
      <c r="A126" t="s">
        <v>24</v>
      </c>
      <c r="B126" s="101" t="s">
        <v>208</v>
      </c>
      <c r="C126" s="46">
        <v>44347.438391203701</v>
      </c>
      <c r="D126" t="s">
        <v>146</v>
      </c>
      <c r="E126">
        <v>17.09</v>
      </c>
      <c r="F126" t="str">
        <f>VLOOKUP(A126*1,Table2[],5,TRUE)</f>
        <v>20:30:00</v>
      </c>
      <c r="G126" s="46" t="e">
        <f t="shared" si="2"/>
        <v>#VALUE!</v>
      </c>
      <c r="H126" t="e">
        <f t="shared" si="3"/>
        <v>#VALUE!</v>
      </c>
    </row>
    <row r="127" spans="1:8" x14ac:dyDescent="0.25">
      <c r="A127" t="s">
        <v>24</v>
      </c>
      <c r="B127" s="101" t="s">
        <v>208</v>
      </c>
      <c r="C127" s="46">
        <v>44347.438773148147</v>
      </c>
      <c r="D127" t="s">
        <v>148</v>
      </c>
      <c r="E127">
        <v>5.8</v>
      </c>
      <c r="F127" t="str">
        <f>VLOOKUP(A127*1,Table2[],5,TRUE)</f>
        <v>20:30:00</v>
      </c>
      <c r="G127" s="46" t="e">
        <f t="shared" si="2"/>
        <v>#VALUE!</v>
      </c>
      <c r="H127" t="e">
        <f t="shared" si="3"/>
        <v>#VALUE!</v>
      </c>
    </row>
    <row r="128" spans="1:8" x14ac:dyDescent="0.25">
      <c r="A128" t="s">
        <v>24</v>
      </c>
      <c r="B128" s="101" t="s">
        <v>217</v>
      </c>
      <c r="C128" s="46">
        <v>44347.439479166664</v>
      </c>
      <c r="D128" t="s">
        <v>147</v>
      </c>
      <c r="E128">
        <v>14.4</v>
      </c>
      <c r="F128" t="str">
        <f>VLOOKUP(A128*1,Table2[],5,TRUE)</f>
        <v>20:30:00</v>
      </c>
      <c r="G128" s="46" t="e">
        <f t="shared" si="2"/>
        <v>#VALUE!</v>
      </c>
      <c r="H128" t="e">
        <f t="shared" si="3"/>
        <v>#VALUE!</v>
      </c>
    </row>
    <row r="129" spans="1:8" x14ac:dyDescent="0.25">
      <c r="A129" t="s">
        <v>24</v>
      </c>
      <c r="B129" s="101" t="s">
        <v>217</v>
      </c>
      <c r="C129" s="46">
        <v>44347.44431712963</v>
      </c>
      <c r="D129" t="s">
        <v>147</v>
      </c>
      <c r="E129">
        <v>50.15</v>
      </c>
      <c r="F129" t="str">
        <f>VLOOKUP(A129*1,Table2[],5,TRUE)</f>
        <v>20:30:00</v>
      </c>
      <c r="G129" s="46" t="e">
        <f t="shared" si="2"/>
        <v>#VALUE!</v>
      </c>
      <c r="H129" t="e">
        <f t="shared" si="3"/>
        <v>#VALUE!</v>
      </c>
    </row>
    <row r="130" spans="1:8" x14ac:dyDescent="0.25">
      <c r="A130" t="s">
        <v>24</v>
      </c>
      <c r="B130" s="101" t="s">
        <v>217</v>
      </c>
      <c r="C130" s="46">
        <v>44347.44431712963</v>
      </c>
      <c r="D130" t="s">
        <v>147</v>
      </c>
      <c r="E130">
        <v>50.15</v>
      </c>
      <c r="F130" t="str">
        <f>VLOOKUP(A130*1,Table2[],5,TRUE)</f>
        <v>20:30:00</v>
      </c>
      <c r="G130" s="46" t="e">
        <f t="shared" ref="G130:G193" si="4">DATEVALUE(TEXT($L$2-1,"DD/MM/YYYY"))+TIMEVALUE(TEXT(F130,"HH:MM:SS"))</f>
        <v>#VALUE!</v>
      </c>
      <c r="H130" t="e">
        <f t="shared" ref="H130:H193" si="5">IF(C130&lt;G130,"Before Bank Cut Off",IF(C130&gt;=DATEVALUE($L$2),"After Midnight","In Between"))</f>
        <v>#VALUE!</v>
      </c>
    </row>
    <row r="131" spans="1:8" x14ac:dyDescent="0.25">
      <c r="A131" t="s">
        <v>24</v>
      </c>
      <c r="B131" s="101" t="s">
        <v>217</v>
      </c>
      <c r="C131" s="46">
        <v>44347.444664351853</v>
      </c>
      <c r="D131" t="s">
        <v>147</v>
      </c>
      <c r="E131">
        <v>7.99</v>
      </c>
      <c r="F131" t="str">
        <f>VLOOKUP(A131*1,Table2[],5,TRUE)</f>
        <v>20:30:00</v>
      </c>
      <c r="G131" s="46" t="e">
        <f t="shared" si="4"/>
        <v>#VALUE!</v>
      </c>
      <c r="H131" t="e">
        <f t="shared" si="5"/>
        <v>#VALUE!</v>
      </c>
    </row>
    <row r="133" spans="1:8" x14ac:dyDescent="0.25">
      <c r="A133" t="s">
        <v>24</v>
      </c>
      <c r="B133" s="101" t="s">
        <v>217</v>
      </c>
      <c r="C133" s="46">
        <v>44347.444861111115</v>
      </c>
      <c r="D133" t="s">
        <v>147</v>
      </c>
      <c r="E133">
        <v>6.1</v>
      </c>
      <c r="F133" t="str">
        <f>VLOOKUP(A133*1,Table2[],5,TRUE)</f>
        <v>20:30:00</v>
      </c>
      <c r="G133" s="46" t="e">
        <f t="shared" si="4"/>
        <v>#VALUE!</v>
      </c>
      <c r="H133" t="e">
        <f t="shared" si="5"/>
        <v>#VALUE!</v>
      </c>
    </row>
    <row r="134" spans="1:8" x14ac:dyDescent="0.25">
      <c r="A134" t="s">
        <v>24</v>
      </c>
      <c r="B134" s="101" t="s">
        <v>217</v>
      </c>
      <c r="C134" s="46">
        <v>44347.445798611108</v>
      </c>
      <c r="D134" t="s">
        <v>147</v>
      </c>
      <c r="E134">
        <v>12.6</v>
      </c>
      <c r="F134" t="str">
        <f>VLOOKUP(A134*1,Table2[],5,TRUE)</f>
        <v>20:30:00</v>
      </c>
      <c r="G134" s="46" t="e">
        <f t="shared" si="4"/>
        <v>#VALUE!</v>
      </c>
      <c r="H134" t="e">
        <f t="shared" si="5"/>
        <v>#VALUE!</v>
      </c>
    </row>
    <row r="135" spans="1:8" x14ac:dyDescent="0.25">
      <c r="A135" t="s">
        <v>24</v>
      </c>
      <c r="B135" s="101" t="s">
        <v>208</v>
      </c>
      <c r="C135" s="46">
        <v>44347.44599537037</v>
      </c>
      <c r="D135" t="s">
        <v>148</v>
      </c>
      <c r="E135">
        <v>52.98</v>
      </c>
      <c r="F135" t="str">
        <f>VLOOKUP(A135*1,Table2[],5,TRUE)</f>
        <v>20:30:00</v>
      </c>
      <c r="G135" s="46" t="e">
        <f t="shared" si="4"/>
        <v>#VALUE!</v>
      </c>
      <c r="H135" t="e">
        <f t="shared" si="5"/>
        <v>#VALUE!</v>
      </c>
    </row>
    <row r="136" spans="1:8" x14ac:dyDescent="0.25">
      <c r="A136" t="s">
        <v>24</v>
      </c>
      <c r="B136" s="101" t="s">
        <v>217</v>
      </c>
      <c r="C136" s="46">
        <v>44347.446284722224</v>
      </c>
      <c r="D136" t="s">
        <v>148</v>
      </c>
      <c r="E136">
        <v>99</v>
      </c>
      <c r="F136" t="str">
        <f>VLOOKUP(A136*1,Table2[],5,TRUE)</f>
        <v>20:30:00</v>
      </c>
      <c r="G136" s="46" t="e">
        <f t="shared" si="4"/>
        <v>#VALUE!</v>
      </c>
      <c r="H136" t="e">
        <f t="shared" si="5"/>
        <v>#VALUE!</v>
      </c>
    </row>
    <row r="137" spans="1:8" x14ac:dyDescent="0.25">
      <c r="A137" t="s">
        <v>24</v>
      </c>
      <c r="B137" s="101" t="s">
        <v>208</v>
      </c>
      <c r="C137" s="46">
        <v>44347.447118055556</v>
      </c>
      <c r="D137" t="s">
        <v>147</v>
      </c>
      <c r="E137">
        <v>2.75</v>
      </c>
      <c r="F137" t="str">
        <f>VLOOKUP(A137*1,Table2[],5,TRUE)</f>
        <v>20:30:00</v>
      </c>
      <c r="G137" s="46" t="e">
        <f t="shared" si="4"/>
        <v>#VALUE!</v>
      </c>
      <c r="H137" t="e">
        <f t="shared" si="5"/>
        <v>#VALUE!</v>
      </c>
    </row>
    <row r="138" spans="1:8" x14ac:dyDescent="0.25">
      <c r="A138" t="s">
        <v>24</v>
      </c>
      <c r="B138" s="101" t="s">
        <v>217</v>
      </c>
      <c r="C138" s="46">
        <v>44347.44734953704</v>
      </c>
      <c r="D138" t="s">
        <v>147</v>
      </c>
      <c r="E138">
        <v>10</v>
      </c>
      <c r="F138" t="str">
        <f>VLOOKUP(A138*1,Table2[],5,TRUE)</f>
        <v>20:30:00</v>
      </c>
      <c r="G138" s="46" t="e">
        <f t="shared" si="4"/>
        <v>#VALUE!</v>
      </c>
      <c r="H138" t="e">
        <f t="shared" si="5"/>
        <v>#VALUE!</v>
      </c>
    </row>
    <row r="139" spans="1:8" x14ac:dyDescent="0.25">
      <c r="A139" t="s">
        <v>24</v>
      </c>
      <c r="B139" s="101" t="s">
        <v>217</v>
      </c>
      <c r="C139" s="46">
        <v>44347.448194444441</v>
      </c>
      <c r="D139" t="s">
        <v>147</v>
      </c>
      <c r="E139">
        <v>19.989999999999998</v>
      </c>
      <c r="F139" t="str">
        <f>VLOOKUP(A139*1,Table2[],5,TRUE)</f>
        <v>20:30:00</v>
      </c>
      <c r="G139" s="46" t="e">
        <f t="shared" si="4"/>
        <v>#VALUE!</v>
      </c>
      <c r="H139" t="e">
        <f t="shared" si="5"/>
        <v>#VALUE!</v>
      </c>
    </row>
    <row r="140" spans="1:8" x14ac:dyDescent="0.25">
      <c r="A140" t="s">
        <v>24</v>
      </c>
      <c r="B140" s="101" t="s">
        <v>217</v>
      </c>
      <c r="C140" s="46">
        <v>44347.449386574073</v>
      </c>
      <c r="D140" t="s">
        <v>148</v>
      </c>
      <c r="E140">
        <v>49.94</v>
      </c>
      <c r="F140" t="str">
        <f>VLOOKUP(A140*1,Table2[],5,TRUE)</f>
        <v>20:30:00</v>
      </c>
      <c r="G140" s="46" t="e">
        <f t="shared" si="4"/>
        <v>#VALUE!</v>
      </c>
      <c r="H140" t="e">
        <f t="shared" si="5"/>
        <v>#VALUE!</v>
      </c>
    </row>
    <row r="141" spans="1:8" x14ac:dyDescent="0.25">
      <c r="A141" t="s">
        <v>24</v>
      </c>
      <c r="B141" s="101" t="s">
        <v>217</v>
      </c>
      <c r="C141" s="46">
        <v>44347.449745370373</v>
      </c>
      <c r="D141" t="s">
        <v>147</v>
      </c>
      <c r="E141">
        <v>40</v>
      </c>
      <c r="F141" t="str">
        <f>VLOOKUP(A141*1,Table2[],5,TRUE)</f>
        <v>20:30:00</v>
      </c>
      <c r="G141" s="46" t="e">
        <f t="shared" si="4"/>
        <v>#VALUE!</v>
      </c>
      <c r="H141" t="e">
        <f t="shared" si="5"/>
        <v>#VALUE!</v>
      </c>
    </row>
    <row r="142" spans="1:8" x14ac:dyDescent="0.25">
      <c r="A142" t="s">
        <v>24</v>
      </c>
      <c r="B142" s="101" t="s">
        <v>217</v>
      </c>
      <c r="C142" s="46">
        <v>44347.450104166666</v>
      </c>
      <c r="D142" t="s">
        <v>146</v>
      </c>
      <c r="E142">
        <v>24.98</v>
      </c>
      <c r="F142" t="str">
        <f>VLOOKUP(A142*1,Table2[],5,TRUE)</f>
        <v>20:30:00</v>
      </c>
      <c r="G142" s="46" t="e">
        <f t="shared" si="4"/>
        <v>#VALUE!</v>
      </c>
      <c r="H142" t="e">
        <f t="shared" si="5"/>
        <v>#VALUE!</v>
      </c>
    </row>
    <row r="143" spans="1:8" x14ac:dyDescent="0.25">
      <c r="A143" t="s">
        <v>24</v>
      </c>
      <c r="B143" s="101" t="s">
        <v>208</v>
      </c>
      <c r="C143" s="46">
        <v>44347.450162037036</v>
      </c>
      <c r="D143" t="s">
        <v>147</v>
      </c>
      <c r="E143">
        <v>11</v>
      </c>
      <c r="F143" t="str">
        <f>VLOOKUP(A143*1,Table2[],5,TRUE)</f>
        <v>20:30:00</v>
      </c>
      <c r="G143" s="46" t="e">
        <f t="shared" si="4"/>
        <v>#VALUE!</v>
      </c>
      <c r="H143" t="e">
        <f t="shared" si="5"/>
        <v>#VALUE!</v>
      </c>
    </row>
    <row r="145" spans="1:8" x14ac:dyDescent="0.25">
      <c r="A145" t="s">
        <v>24</v>
      </c>
      <c r="B145" s="101" t="s">
        <v>217</v>
      </c>
      <c r="C145" s="46">
        <v>44347.452106481483</v>
      </c>
      <c r="D145" t="s">
        <v>147</v>
      </c>
      <c r="E145">
        <v>5</v>
      </c>
      <c r="F145" t="str">
        <f>VLOOKUP(A145*1,Table2[],5,TRUE)</f>
        <v>20:30:00</v>
      </c>
      <c r="G145" s="46" t="e">
        <f t="shared" si="4"/>
        <v>#VALUE!</v>
      </c>
      <c r="H145" t="e">
        <f t="shared" si="5"/>
        <v>#VALUE!</v>
      </c>
    </row>
    <row r="146" spans="1:8" x14ac:dyDescent="0.25">
      <c r="A146" t="s">
        <v>24</v>
      </c>
      <c r="B146" s="101" t="s">
        <v>208</v>
      </c>
      <c r="C146" s="46">
        <v>44347.453113425923</v>
      </c>
      <c r="D146" t="s">
        <v>147</v>
      </c>
      <c r="E146">
        <v>84.17</v>
      </c>
      <c r="F146" t="str">
        <f>VLOOKUP(A146*1,Table2[],5,TRUE)</f>
        <v>20:30:00</v>
      </c>
      <c r="G146" s="46" t="e">
        <f t="shared" si="4"/>
        <v>#VALUE!</v>
      </c>
      <c r="H146" t="e">
        <f t="shared" si="5"/>
        <v>#VALUE!</v>
      </c>
    </row>
    <row r="147" spans="1:8" x14ac:dyDescent="0.25">
      <c r="A147" t="s">
        <v>24</v>
      </c>
      <c r="B147" s="101" t="s">
        <v>208</v>
      </c>
      <c r="C147" s="46">
        <v>44347.454097222224</v>
      </c>
      <c r="D147" t="s">
        <v>147</v>
      </c>
      <c r="E147">
        <v>34.979999999999997</v>
      </c>
      <c r="F147" t="str">
        <f>VLOOKUP(A147*1,Table2[],5,TRUE)</f>
        <v>20:30:00</v>
      </c>
      <c r="G147" s="46" t="e">
        <f t="shared" si="4"/>
        <v>#VALUE!</v>
      </c>
      <c r="H147" t="e">
        <f t="shared" si="5"/>
        <v>#VALUE!</v>
      </c>
    </row>
    <row r="148" spans="1:8" x14ac:dyDescent="0.25">
      <c r="A148" t="s">
        <v>24</v>
      </c>
      <c r="B148" s="101" t="s">
        <v>208</v>
      </c>
      <c r="C148" s="46">
        <v>44347.456018518518</v>
      </c>
      <c r="D148" t="s">
        <v>146</v>
      </c>
      <c r="E148">
        <v>23.68</v>
      </c>
      <c r="F148" t="str">
        <f>VLOOKUP(A148*1,Table2[],5,TRUE)</f>
        <v>20:30:00</v>
      </c>
      <c r="G148" s="46" t="e">
        <f t="shared" si="4"/>
        <v>#VALUE!</v>
      </c>
      <c r="H148" t="e">
        <f t="shared" si="5"/>
        <v>#VALUE!</v>
      </c>
    </row>
    <row r="149" spans="1:8" x14ac:dyDescent="0.25">
      <c r="A149" t="s">
        <v>24</v>
      </c>
      <c r="B149" s="101" t="s">
        <v>208</v>
      </c>
      <c r="C149" s="46">
        <v>44347.457986111112</v>
      </c>
      <c r="D149" t="s">
        <v>147</v>
      </c>
      <c r="E149">
        <v>-32.99</v>
      </c>
      <c r="F149" t="str">
        <f>VLOOKUP(A149*1,Table2[],5,TRUE)</f>
        <v>20:30:00</v>
      </c>
      <c r="G149" s="46" t="e">
        <f t="shared" si="4"/>
        <v>#VALUE!</v>
      </c>
      <c r="H149" t="e">
        <f t="shared" si="5"/>
        <v>#VALUE!</v>
      </c>
    </row>
    <row r="150" spans="1:8" x14ac:dyDescent="0.25">
      <c r="A150" t="s">
        <v>24</v>
      </c>
      <c r="B150" s="101" t="s">
        <v>208</v>
      </c>
      <c r="C150" s="46">
        <v>44347.458611111113</v>
      </c>
      <c r="D150" t="s">
        <v>147</v>
      </c>
      <c r="E150">
        <v>6</v>
      </c>
      <c r="F150" t="str">
        <f>VLOOKUP(A150*1,Table2[],5,TRUE)</f>
        <v>20:30:00</v>
      </c>
      <c r="G150" s="46" t="e">
        <f t="shared" si="4"/>
        <v>#VALUE!</v>
      </c>
      <c r="H150" t="e">
        <f t="shared" si="5"/>
        <v>#VALUE!</v>
      </c>
    </row>
    <row r="151" spans="1:8" x14ac:dyDescent="0.25">
      <c r="A151" t="s">
        <v>24</v>
      </c>
      <c r="B151" s="101" t="s">
        <v>217</v>
      </c>
      <c r="C151" s="46">
        <v>44347.458749999998</v>
      </c>
      <c r="D151" t="s">
        <v>147</v>
      </c>
      <c r="E151">
        <v>16.989999999999998</v>
      </c>
      <c r="F151" t="str">
        <f>VLOOKUP(A151*1,Table2[],5,TRUE)</f>
        <v>20:30:00</v>
      </c>
      <c r="G151" s="46" t="e">
        <f t="shared" si="4"/>
        <v>#VALUE!</v>
      </c>
      <c r="H151" t="e">
        <f t="shared" si="5"/>
        <v>#VALUE!</v>
      </c>
    </row>
    <row r="152" spans="1:8" x14ac:dyDescent="0.25">
      <c r="A152" t="s">
        <v>24</v>
      </c>
      <c r="B152" s="101" t="s">
        <v>208</v>
      </c>
      <c r="C152" s="46">
        <v>44347.458993055552</v>
      </c>
      <c r="D152" t="s">
        <v>147</v>
      </c>
      <c r="E152">
        <v>6.5</v>
      </c>
      <c r="F152" t="str">
        <f>VLOOKUP(A152*1,Table2[],5,TRUE)</f>
        <v>20:30:00</v>
      </c>
      <c r="G152" s="46" t="e">
        <f t="shared" si="4"/>
        <v>#VALUE!</v>
      </c>
      <c r="H152" t="e">
        <f t="shared" si="5"/>
        <v>#VALUE!</v>
      </c>
    </row>
    <row r="153" spans="1:8" x14ac:dyDescent="0.25">
      <c r="A153" t="s">
        <v>24</v>
      </c>
      <c r="B153" s="101" t="s">
        <v>208</v>
      </c>
      <c r="C153" s="46">
        <v>44347.460185185184</v>
      </c>
      <c r="D153" t="s">
        <v>147</v>
      </c>
      <c r="E153">
        <v>3</v>
      </c>
      <c r="F153" t="str">
        <f>VLOOKUP(A153*1,Table2[],5,TRUE)</f>
        <v>20:30:00</v>
      </c>
      <c r="G153" s="46" t="e">
        <f t="shared" si="4"/>
        <v>#VALUE!</v>
      </c>
      <c r="H153" t="e">
        <f t="shared" si="5"/>
        <v>#VALUE!</v>
      </c>
    </row>
    <row r="154" spans="1:8" x14ac:dyDescent="0.25">
      <c r="A154" t="s">
        <v>24</v>
      </c>
      <c r="B154" s="101" t="s">
        <v>217</v>
      </c>
      <c r="C154" s="46">
        <v>44347.46166666667</v>
      </c>
      <c r="D154" t="s">
        <v>147</v>
      </c>
      <c r="E154">
        <v>7.96</v>
      </c>
      <c r="F154" t="str">
        <f>VLOOKUP(A154*1,Table2[],5,TRUE)</f>
        <v>20:30:00</v>
      </c>
      <c r="G154" s="46" t="e">
        <f t="shared" si="4"/>
        <v>#VALUE!</v>
      </c>
      <c r="H154" t="e">
        <f t="shared" si="5"/>
        <v>#VALUE!</v>
      </c>
    </row>
    <row r="155" spans="1:8" x14ac:dyDescent="0.25">
      <c r="A155" t="s">
        <v>24</v>
      </c>
      <c r="B155" s="101" t="s">
        <v>217</v>
      </c>
      <c r="C155" s="46">
        <v>44347.462013888886</v>
      </c>
      <c r="D155" t="s">
        <v>146</v>
      </c>
      <c r="E155">
        <v>5</v>
      </c>
      <c r="F155" t="str">
        <f>VLOOKUP(A155*1,Table2[],5,TRUE)</f>
        <v>20:30:00</v>
      </c>
      <c r="G155" s="46" t="e">
        <f t="shared" si="4"/>
        <v>#VALUE!</v>
      </c>
      <c r="H155" t="e">
        <f t="shared" si="5"/>
        <v>#VALUE!</v>
      </c>
    </row>
    <row r="156" spans="1:8" x14ac:dyDescent="0.25">
      <c r="A156" t="s">
        <v>24</v>
      </c>
      <c r="B156" s="101" t="s">
        <v>217</v>
      </c>
      <c r="C156" s="46">
        <v>44347.462581018517</v>
      </c>
      <c r="D156" t="s">
        <v>147</v>
      </c>
      <c r="E156">
        <v>6</v>
      </c>
      <c r="F156" t="str">
        <f>VLOOKUP(A156*1,Table2[],5,TRUE)</f>
        <v>20:30:00</v>
      </c>
      <c r="G156" s="46" t="e">
        <f t="shared" si="4"/>
        <v>#VALUE!</v>
      </c>
      <c r="H156" t="e">
        <f t="shared" si="5"/>
        <v>#VALUE!</v>
      </c>
    </row>
    <row r="157" spans="1:8" x14ac:dyDescent="0.25">
      <c r="A157" t="s">
        <v>24</v>
      </c>
      <c r="B157" s="101" t="s">
        <v>217</v>
      </c>
      <c r="C157" s="46">
        <v>44347.462881944448</v>
      </c>
      <c r="D157" t="s">
        <v>146</v>
      </c>
      <c r="E157">
        <v>62.98</v>
      </c>
      <c r="F157" t="str">
        <f>VLOOKUP(A157*1,Table2[],5,TRUE)</f>
        <v>20:30:00</v>
      </c>
      <c r="G157" s="46" t="e">
        <f t="shared" si="4"/>
        <v>#VALUE!</v>
      </c>
      <c r="H157" t="e">
        <f t="shared" si="5"/>
        <v>#VALUE!</v>
      </c>
    </row>
    <row r="158" spans="1:8" x14ac:dyDescent="0.25">
      <c r="A158" t="s">
        <v>24</v>
      </c>
      <c r="B158" s="101" t="s">
        <v>208</v>
      </c>
      <c r="C158" s="46">
        <v>44347.463171296295</v>
      </c>
      <c r="D158" t="s">
        <v>146</v>
      </c>
      <c r="E158">
        <v>11</v>
      </c>
      <c r="F158" t="str">
        <f>VLOOKUP(A158*1,Table2[],5,TRUE)</f>
        <v>20:30:00</v>
      </c>
      <c r="G158" s="46" t="e">
        <f t="shared" si="4"/>
        <v>#VALUE!</v>
      </c>
      <c r="H158" t="e">
        <f t="shared" si="5"/>
        <v>#VALUE!</v>
      </c>
    </row>
    <row r="159" spans="1:8" x14ac:dyDescent="0.25">
      <c r="A159" t="s">
        <v>24</v>
      </c>
      <c r="B159" s="101" t="s">
        <v>208</v>
      </c>
      <c r="C159" s="46">
        <v>44347.464166666665</v>
      </c>
      <c r="D159" t="s">
        <v>146</v>
      </c>
      <c r="E159">
        <v>5</v>
      </c>
      <c r="F159" t="str">
        <f>VLOOKUP(A159*1,Table2[],5,TRUE)</f>
        <v>20:30:00</v>
      </c>
      <c r="G159" s="46" t="e">
        <f t="shared" si="4"/>
        <v>#VALUE!</v>
      </c>
      <c r="H159" t="e">
        <f t="shared" si="5"/>
        <v>#VALUE!</v>
      </c>
    </row>
    <row r="160" spans="1:8" x14ac:dyDescent="0.25">
      <c r="A160" t="s">
        <v>24</v>
      </c>
      <c r="B160" s="101" t="s">
        <v>208</v>
      </c>
      <c r="C160" s="46">
        <v>44347.464699074073</v>
      </c>
      <c r="D160" t="s">
        <v>147</v>
      </c>
      <c r="E160">
        <v>20.190000000000001</v>
      </c>
      <c r="F160" t="str">
        <f>VLOOKUP(A160*1,Table2[],5,TRUE)</f>
        <v>20:30:00</v>
      </c>
      <c r="G160" s="46" t="e">
        <f t="shared" si="4"/>
        <v>#VALUE!</v>
      </c>
      <c r="H160" t="e">
        <f t="shared" si="5"/>
        <v>#VALUE!</v>
      </c>
    </row>
    <row r="161" spans="1:8" x14ac:dyDescent="0.25">
      <c r="A161" t="s">
        <v>24</v>
      </c>
      <c r="B161" s="101" t="s">
        <v>217</v>
      </c>
      <c r="C161" s="46">
        <v>44347.464861111112</v>
      </c>
      <c r="D161" t="s">
        <v>147</v>
      </c>
      <c r="E161">
        <v>7.4</v>
      </c>
      <c r="F161" t="str">
        <f>VLOOKUP(A161*1,Table2[],5,TRUE)</f>
        <v>20:30:00</v>
      </c>
      <c r="G161" s="46" t="e">
        <f t="shared" si="4"/>
        <v>#VALUE!</v>
      </c>
      <c r="H161" t="e">
        <f t="shared" si="5"/>
        <v>#VALUE!</v>
      </c>
    </row>
    <row r="162" spans="1:8" x14ac:dyDescent="0.25">
      <c r="A162" t="s">
        <v>24</v>
      </c>
      <c r="B162" s="101" t="s">
        <v>217</v>
      </c>
      <c r="C162" s="46">
        <v>44347.465150462966</v>
      </c>
      <c r="D162" t="s">
        <v>147</v>
      </c>
      <c r="E162">
        <v>16.940000000000001</v>
      </c>
      <c r="F162" t="str">
        <f>VLOOKUP(A162*1,Table2[],5,TRUE)</f>
        <v>20:30:00</v>
      </c>
      <c r="G162" s="46" t="e">
        <f t="shared" si="4"/>
        <v>#VALUE!</v>
      </c>
      <c r="H162" t="e">
        <f t="shared" si="5"/>
        <v>#VALUE!</v>
      </c>
    </row>
    <row r="163" spans="1:8" x14ac:dyDescent="0.25">
      <c r="A163" t="s">
        <v>24</v>
      </c>
      <c r="B163" s="101" t="s">
        <v>217</v>
      </c>
      <c r="C163" s="46">
        <v>44347.465752314813</v>
      </c>
      <c r="D163" t="s">
        <v>147</v>
      </c>
      <c r="E163">
        <v>28.59</v>
      </c>
      <c r="F163" t="str">
        <f>VLOOKUP(A163*1,Table2[],5,TRUE)</f>
        <v>20:30:00</v>
      </c>
      <c r="G163" s="46" t="e">
        <f t="shared" si="4"/>
        <v>#VALUE!</v>
      </c>
      <c r="H163" t="e">
        <f t="shared" si="5"/>
        <v>#VALUE!</v>
      </c>
    </row>
    <row r="164" spans="1:8" x14ac:dyDescent="0.25">
      <c r="A164" t="s">
        <v>24</v>
      </c>
      <c r="B164" s="101" t="s">
        <v>208</v>
      </c>
      <c r="C164" s="46">
        <v>44347.466134259259</v>
      </c>
      <c r="D164" t="s">
        <v>147</v>
      </c>
      <c r="E164">
        <v>30.79</v>
      </c>
      <c r="F164" t="str">
        <f>VLOOKUP(A164*1,Table2[],5,TRUE)</f>
        <v>20:30:00</v>
      </c>
      <c r="G164" s="46" t="e">
        <f t="shared" si="4"/>
        <v>#VALUE!</v>
      </c>
      <c r="H164" t="e">
        <f t="shared" si="5"/>
        <v>#VALUE!</v>
      </c>
    </row>
    <row r="165" spans="1:8" x14ac:dyDescent="0.25">
      <c r="A165" t="s">
        <v>24</v>
      </c>
      <c r="B165" s="101" t="s">
        <v>208</v>
      </c>
      <c r="C165" s="46">
        <v>44347.467592592591</v>
      </c>
      <c r="D165" t="s">
        <v>146</v>
      </c>
      <c r="E165">
        <v>4.99</v>
      </c>
      <c r="F165" t="str">
        <f>VLOOKUP(A165*1,Table2[],5,TRUE)</f>
        <v>20:30:00</v>
      </c>
      <c r="G165" s="46" t="e">
        <f t="shared" si="4"/>
        <v>#VALUE!</v>
      </c>
      <c r="H165" t="e">
        <f t="shared" si="5"/>
        <v>#VALUE!</v>
      </c>
    </row>
    <row r="166" spans="1:8" x14ac:dyDescent="0.25">
      <c r="A166" t="s">
        <v>24</v>
      </c>
      <c r="B166" s="101" t="s">
        <v>208</v>
      </c>
      <c r="C166" s="46">
        <v>44347.468113425923</v>
      </c>
      <c r="D166" t="s">
        <v>148</v>
      </c>
      <c r="E166">
        <v>19.989999999999998</v>
      </c>
      <c r="F166" t="str">
        <f>VLOOKUP(A166*1,Table2[],5,TRUE)</f>
        <v>20:30:00</v>
      </c>
      <c r="G166" s="46" t="e">
        <f t="shared" si="4"/>
        <v>#VALUE!</v>
      </c>
      <c r="H166" t="e">
        <f t="shared" si="5"/>
        <v>#VALUE!</v>
      </c>
    </row>
    <row r="167" spans="1:8" x14ac:dyDescent="0.25">
      <c r="A167" t="s">
        <v>24</v>
      </c>
      <c r="B167" s="101" t="s">
        <v>217</v>
      </c>
      <c r="C167" s="46">
        <v>44347.469363425924</v>
      </c>
      <c r="D167" t="s">
        <v>148</v>
      </c>
      <c r="E167">
        <v>78.13</v>
      </c>
      <c r="F167" t="str">
        <f>VLOOKUP(A167*1,Table2[],5,TRUE)</f>
        <v>20:30:00</v>
      </c>
      <c r="G167" s="46" t="e">
        <f t="shared" si="4"/>
        <v>#VALUE!</v>
      </c>
      <c r="H167" t="e">
        <f t="shared" si="5"/>
        <v>#VALUE!</v>
      </c>
    </row>
    <row r="168" spans="1:8" x14ac:dyDescent="0.25">
      <c r="A168" t="s">
        <v>24</v>
      </c>
      <c r="B168" s="101" t="s">
        <v>208</v>
      </c>
      <c r="C168" s="46">
        <v>44347.46947916667</v>
      </c>
      <c r="D168" t="s">
        <v>146</v>
      </c>
      <c r="E168">
        <v>206.37</v>
      </c>
      <c r="F168" t="str">
        <f>VLOOKUP(A168*1,Table2[],5,TRUE)</f>
        <v>20:30:00</v>
      </c>
      <c r="G168" s="46" t="e">
        <f t="shared" si="4"/>
        <v>#VALUE!</v>
      </c>
      <c r="H168" t="e">
        <f t="shared" si="5"/>
        <v>#VALUE!</v>
      </c>
    </row>
    <row r="169" spans="1:8" x14ac:dyDescent="0.25">
      <c r="A169" t="s">
        <v>24</v>
      </c>
      <c r="B169" s="101" t="s">
        <v>217</v>
      </c>
      <c r="C169" s="46">
        <v>44347.470138888886</v>
      </c>
      <c r="D169" t="s">
        <v>146</v>
      </c>
      <c r="E169">
        <v>15.95</v>
      </c>
      <c r="F169" t="str">
        <f>VLOOKUP(A169*1,Table2[],5,TRUE)</f>
        <v>20:30:00</v>
      </c>
      <c r="G169" s="46" t="e">
        <f t="shared" si="4"/>
        <v>#VALUE!</v>
      </c>
      <c r="H169" t="e">
        <f t="shared" si="5"/>
        <v>#VALUE!</v>
      </c>
    </row>
    <row r="170" spans="1:8" x14ac:dyDescent="0.25">
      <c r="A170" t="s">
        <v>24</v>
      </c>
      <c r="B170" s="101" t="s">
        <v>208</v>
      </c>
      <c r="C170" s="46">
        <v>44347.470243055555</v>
      </c>
      <c r="D170" t="s">
        <v>147</v>
      </c>
      <c r="E170">
        <v>23.99</v>
      </c>
      <c r="F170" t="str">
        <f>VLOOKUP(A170*1,Table2[],5,TRUE)</f>
        <v>20:30:00</v>
      </c>
      <c r="G170" s="46" t="e">
        <f t="shared" si="4"/>
        <v>#VALUE!</v>
      </c>
      <c r="H170" t="e">
        <f t="shared" si="5"/>
        <v>#VALUE!</v>
      </c>
    </row>
    <row r="171" spans="1:8" x14ac:dyDescent="0.25">
      <c r="A171" t="s">
        <v>24</v>
      </c>
      <c r="B171" s="101" t="s">
        <v>217</v>
      </c>
      <c r="C171" s="46">
        <v>44347.470601851855</v>
      </c>
      <c r="D171" t="s">
        <v>148</v>
      </c>
      <c r="E171">
        <v>39.99</v>
      </c>
      <c r="F171" t="str">
        <f>VLOOKUP(A171*1,Table2[],5,TRUE)</f>
        <v>20:30:00</v>
      </c>
      <c r="G171" s="46" t="e">
        <f t="shared" si="4"/>
        <v>#VALUE!</v>
      </c>
      <c r="H171" t="e">
        <f t="shared" si="5"/>
        <v>#VALUE!</v>
      </c>
    </row>
    <row r="172" spans="1:8" x14ac:dyDescent="0.25">
      <c r="A172" t="s">
        <v>24</v>
      </c>
      <c r="B172" s="101" t="s">
        <v>208</v>
      </c>
      <c r="C172" s="46">
        <v>44347.470752314817</v>
      </c>
      <c r="D172" t="s">
        <v>147</v>
      </c>
      <c r="E172">
        <v>10</v>
      </c>
      <c r="F172" t="str">
        <f>VLOOKUP(A172*1,Table2[],5,TRUE)</f>
        <v>20:30:00</v>
      </c>
      <c r="G172" s="46" t="e">
        <f t="shared" si="4"/>
        <v>#VALUE!</v>
      </c>
      <c r="H172" t="e">
        <f t="shared" si="5"/>
        <v>#VALUE!</v>
      </c>
    </row>
    <row r="173" spans="1:8" x14ac:dyDescent="0.25">
      <c r="A173" t="s">
        <v>24</v>
      </c>
      <c r="B173" s="101" t="s">
        <v>217</v>
      </c>
      <c r="C173" s="46">
        <v>44347.472893518519</v>
      </c>
      <c r="D173" t="s">
        <v>146</v>
      </c>
      <c r="E173">
        <v>55.9</v>
      </c>
      <c r="F173" t="str">
        <f>VLOOKUP(A173*1,Table2[],5,TRUE)</f>
        <v>20:30:00</v>
      </c>
      <c r="G173" s="46" t="e">
        <f t="shared" si="4"/>
        <v>#VALUE!</v>
      </c>
      <c r="H173" t="e">
        <f t="shared" si="5"/>
        <v>#VALUE!</v>
      </c>
    </row>
    <row r="174" spans="1:8" x14ac:dyDescent="0.25">
      <c r="A174" t="s">
        <v>24</v>
      </c>
      <c r="B174" s="101" t="s">
        <v>208</v>
      </c>
      <c r="C174" s="46">
        <v>44347.473333333335</v>
      </c>
      <c r="D174" t="s">
        <v>147</v>
      </c>
      <c r="E174">
        <v>101.18</v>
      </c>
      <c r="F174" t="str">
        <f>VLOOKUP(A174*1,Table2[],5,TRUE)</f>
        <v>20:30:00</v>
      </c>
      <c r="G174" s="46" t="e">
        <f t="shared" si="4"/>
        <v>#VALUE!</v>
      </c>
      <c r="H174" t="e">
        <f t="shared" si="5"/>
        <v>#VALUE!</v>
      </c>
    </row>
    <row r="175" spans="1:8" x14ac:dyDescent="0.25">
      <c r="A175" t="s">
        <v>24</v>
      </c>
      <c r="B175" s="101" t="s">
        <v>217</v>
      </c>
      <c r="C175" s="46">
        <v>44347.473657407405</v>
      </c>
      <c r="D175" t="s">
        <v>147</v>
      </c>
      <c r="E175">
        <v>27.99</v>
      </c>
      <c r="F175" t="str">
        <f>VLOOKUP(A175*1,Table2[],5,TRUE)</f>
        <v>20:30:00</v>
      </c>
      <c r="G175" s="46" t="e">
        <f t="shared" si="4"/>
        <v>#VALUE!</v>
      </c>
      <c r="H175" t="e">
        <f t="shared" si="5"/>
        <v>#VALUE!</v>
      </c>
    </row>
    <row r="176" spans="1:8" x14ac:dyDescent="0.25">
      <c r="A176" t="s">
        <v>24</v>
      </c>
      <c r="B176" s="101" t="s">
        <v>217</v>
      </c>
      <c r="C176" s="46">
        <v>44347.474085648151</v>
      </c>
      <c r="D176" t="s">
        <v>146</v>
      </c>
      <c r="E176">
        <v>75.14</v>
      </c>
      <c r="F176" t="str">
        <f>VLOOKUP(A176*1,Table2[],5,TRUE)</f>
        <v>20:30:00</v>
      </c>
      <c r="G176" s="46" t="e">
        <f t="shared" si="4"/>
        <v>#VALUE!</v>
      </c>
      <c r="H176" t="e">
        <f t="shared" si="5"/>
        <v>#VALUE!</v>
      </c>
    </row>
    <row r="177" spans="1:8" x14ac:dyDescent="0.25">
      <c r="A177" t="s">
        <v>24</v>
      </c>
      <c r="B177" s="101" t="s">
        <v>208</v>
      </c>
      <c r="C177" s="46">
        <v>44347.474143518521</v>
      </c>
      <c r="D177" t="s">
        <v>146</v>
      </c>
      <c r="E177">
        <v>7.6</v>
      </c>
      <c r="F177" t="str">
        <f>VLOOKUP(A177*1,Table2[],5,TRUE)</f>
        <v>20:30:00</v>
      </c>
      <c r="G177" s="46" t="e">
        <f t="shared" si="4"/>
        <v>#VALUE!</v>
      </c>
      <c r="H177" t="e">
        <f t="shared" si="5"/>
        <v>#VALUE!</v>
      </c>
    </row>
    <row r="178" spans="1:8" x14ac:dyDescent="0.25">
      <c r="A178" t="s">
        <v>24</v>
      </c>
      <c r="B178" s="101" t="s">
        <v>208</v>
      </c>
      <c r="C178" s="46">
        <v>44347.474432870367</v>
      </c>
      <c r="D178" t="s">
        <v>147</v>
      </c>
      <c r="E178">
        <v>5</v>
      </c>
      <c r="F178" t="str">
        <f>VLOOKUP(A178*1,Table2[],5,TRUE)</f>
        <v>20:30:00</v>
      </c>
      <c r="G178" s="46" t="e">
        <f t="shared" si="4"/>
        <v>#VALUE!</v>
      </c>
      <c r="H178" t="e">
        <f t="shared" si="5"/>
        <v>#VALUE!</v>
      </c>
    </row>
    <row r="179" spans="1:8" x14ac:dyDescent="0.25">
      <c r="A179" t="s">
        <v>24</v>
      </c>
      <c r="B179" s="101" t="s">
        <v>208</v>
      </c>
      <c r="C179" s="46">
        <v>44347.476030092592</v>
      </c>
      <c r="D179" t="s">
        <v>146</v>
      </c>
      <c r="E179">
        <v>18</v>
      </c>
      <c r="F179" t="str">
        <f>VLOOKUP(A179*1,Table2[],5,TRUE)</f>
        <v>20:30:00</v>
      </c>
      <c r="G179" s="46" t="e">
        <f t="shared" si="4"/>
        <v>#VALUE!</v>
      </c>
      <c r="H179" t="e">
        <f t="shared" si="5"/>
        <v>#VALUE!</v>
      </c>
    </row>
    <row r="180" spans="1:8" x14ac:dyDescent="0.25">
      <c r="A180" t="s">
        <v>24</v>
      </c>
      <c r="B180" s="101" t="s">
        <v>208</v>
      </c>
      <c r="C180" s="46">
        <v>44347.4765625</v>
      </c>
      <c r="D180" t="s">
        <v>148</v>
      </c>
      <c r="E180">
        <v>5.6</v>
      </c>
      <c r="F180" t="str">
        <f>VLOOKUP(A180*1,Table2[],5,TRUE)</f>
        <v>20:30:00</v>
      </c>
      <c r="G180" s="46" t="e">
        <f t="shared" si="4"/>
        <v>#VALUE!</v>
      </c>
      <c r="H180" t="e">
        <f t="shared" si="5"/>
        <v>#VALUE!</v>
      </c>
    </row>
    <row r="181" spans="1:8" x14ac:dyDescent="0.25">
      <c r="A181" t="s">
        <v>24</v>
      </c>
      <c r="B181" s="101" t="s">
        <v>208</v>
      </c>
      <c r="C181" s="46">
        <v>44347.477696759262</v>
      </c>
      <c r="D181" t="s">
        <v>147</v>
      </c>
      <c r="E181">
        <v>21.19</v>
      </c>
      <c r="F181" t="str">
        <f>VLOOKUP(A181*1,Table2[],5,TRUE)</f>
        <v>20:30:00</v>
      </c>
      <c r="G181" s="46" t="e">
        <f t="shared" si="4"/>
        <v>#VALUE!</v>
      </c>
      <c r="H181" t="e">
        <f t="shared" si="5"/>
        <v>#VALUE!</v>
      </c>
    </row>
    <row r="182" spans="1:8" x14ac:dyDescent="0.25">
      <c r="A182" t="s">
        <v>24</v>
      </c>
      <c r="B182" s="101" t="s">
        <v>208</v>
      </c>
      <c r="C182" s="46">
        <v>44347.479247685187</v>
      </c>
      <c r="D182" t="s">
        <v>146</v>
      </c>
      <c r="E182">
        <v>5.19</v>
      </c>
      <c r="F182" t="str">
        <f>VLOOKUP(A182*1,Table2[],5,TRUE)</f>
        <v>20:30:00</v>
      </c>
      <c r="G182" s="46" t="e">
        <f t="shared" si="4"/>
        <v>#VALUE!</v>
      </c>
      <c r="H182" t="e">
        <f t="shared" si="5"/>
        <v>#VALUE!</v>
      </c>
    </row>
    <row r="183" spans="1:8" x14ac:dyDescent="0.25">
      <c r="A183" t="s">
        <v>24</v>
      </c>
      <c r="B183" s="101" t="s">
        <v>208</v>
      </c>
      <c r="C183" s="46">
        <v>44347.480405092596</v>
      </c>
      <c r="D183" t="s">
        <v>146</v>
      </c>
      <c r="E183">
        <v>4.5999999999999996</v>
      </c>
      <c r="F183" t="str">
        <f>VLOOKUP(A183*1,Table2[],5,TRUE)</f>
        <v>20:30:00</v>
      </c>
      <c r="G183" s="46" t="e">
        <f t="shared" si="4"/>
        <v>#VALUE!</v>
      </c>
      <c r="H183" t="e">
        <f t="shared" si="5"/>
        <v>#VALUE!</v>
      </c>
    </row>
    <row r="184" spans="1:8" x14ac:dyDescent="0.25">
      <c r="A184" t="s">
        <v>24</v>
      </c>
      <c r="B184" s="101" t="s">
        <v>208</v>
      </c>
      <c r="C184" s="46">
        <v>44347.483437499999</v>
      </c>
      <c r="D184" t="s">
        <v>146</v>
      </c>
      <c r="E184">
        <v>7.59</v>
      </c>
      <c r="F184" t="str">
        <f>VLOOKUP(A184*1,Table2[],5,TRUE)</f>
        <v>20:30:00</v>
      </c>
      <c r="G184" s="46" t="e">
        <f t="shared" si="4"/>
        <v>#VALUE!</v>
      </c>
      <c r="H184" t="e">
        <f t="shared" si="5"/>
        <v>#VALUE!</v>
      </c>
    </row>
    <row r="185" spans="1:8" x14ac:dyDescent="0.25">
      <c r="A185" t="s">
        <v>24</v>
      </c>
      <c r="B185" s="101" t="s">
        <v>208</v>
      </c>
      <c r="C185" s="46">
        <v>44347.484120370369</v>
      </c>
      <c r="D185" t="s">
        <v>147</v>
      </c>
      <c r="E185">
        <v>90.93</v>
      </c>
      <c r="F185" t="str">
        <f>VLOOKUP(A185*1,Table2[],5,TRUE)</f>
        <v>20:30:00</v>
      </c>
      <c r="G185" s="46" t="e">
        <f t="shared" si="4"/>
        <v>#VALUE!</v>
      </c>
      <c r="H185" t="e">
        <f t="shared" si="5"/>
        <v>#VALUE!</v>
      </c>
    </row>
    <row r="186" spans="1:8" x14ac:dyDescent="0.25">
      <c r="A186" t="s">
        <v>24</v>
      </c>
      <c r="B186" s="101" t="s">
        <v>208</v>
      </c>
      <c r="C186" s="46">
        <v>44347.485173611109</v>
      </c>
      <c r="D186" t="s">
        <v>146</v>
      </c>
      <c r="E186">
        <v>36.96</v>
      </c>
      <c r="F186" t="str">
        <f>VLOOKUP(A186*1,Table2[],5,TRUE)</f>
        <v>20:30:00</v>
      </c>
      <c r="G186" s="46" t="e">
        <f t="shared" si="4"/>
        <v>#VALUE!</v>
      </c>
      <c r="H186" t="e">
        <f t="shared" si="5"/>
        <v>#VALUE!</v>
      </c>
    </row>
    <row r="187" spans="1:8" x14ac:dyDescent="0.25">
      <c r="A187" t="s">
        <v>24</v>
      </c>
      <c r="B187" s="101" t="s">
        <v>208</v>
      </c>
      <c r="C187" s="46">
        <v>44347.485590277778</v>
      </c>
      <c r="D187" t="s">
        <v>146</v>
      </c>
      <c r="E187">
        <v>25.98</v>
      </c>
      <c r="F187" t="str">
        <f>VLOOKUP(A187*1,Table2[],5,TRUE)</f>
        <v>20:30:00</v>
      </c>
      <c r="G187" s="46" t="e">
        <f t="shared" si="4"/>
        <v>#VALUE!</v>
      </c>
      <c r="H187" t="e">
        <f t="shared" si="5"/>
        <v>#VALUE!</v>
      </c>
    </row>
    <row r="188" spans="1:8" x14ac:dyDescent="0.25">
      <c r="A188" t="s">
        <v>24</v>
      </c>
      <c r="B188" s="101" t="s">
        <v>217</v>
      </c>
      <c r="C188" s="46">
        <v>44347.485625000001</v>
      </c>
      <c r="D188" t="s">
        <v>146</v>
      </c>
      <c r="E188">
        <v>111.92</v>
      </c>
      <c r="F188" t="str">
        <f>VLOOKUP(A188*1,Table2[],5,TRUE)</f>
        <v>20:30:00</v>
      </c>
      <c r="G188" s="46" t="e">
        <f t="shared" si="4"/>
        <v>#VALUE!</v>
      </c>
      <c r="H188" t="e">
        <f t="shared" si="5"/>
        <v>#VALUE!</v>
      </c>
    </row>
    <row r="189" spans="1:8" x14ac:dyDescent="0.25">
      <c r="A189" t="s">
        <v>24</v>
      </c>
      <c r="B189" s="101" t="s">
        <v>208</v>
      </c>
      <c r="C189" s="46">
        <v>44347.486006944448</v>
      </c>
      <c r="D189" t="s">
        <v>146</v>
      </c>
      <c r="E189">
        <v>24.99</v>
      </c>
      <c r="F189" t="str">
        <f>VLOOKUP(A189*1,Table2[],5,TRUE)</f>
        <v>20:30:00</v>
      </c>
      <c r="G189" s="46" t="e">
        <f t="shared" si="4"/>
        <v>#VALUE!</v>
      </c>
      <c r="H189" t="e">
        <f t="shared" si="5"/>
        <v>#VALUE!</v>
      </c>
    </row>
    <row r="190" spans="1:8" x14ac:dyDescent="0.25">
      <c r="A190" t="s">
        <v>24</v>
      </c>
      <c r="B190" s="101" t="s">
        <v>217</v>
      </c>
      <c r="C190" s="46">
        <v>44347.486840277779</v>
      </c>
      <c r="D190" t="s">
        <v>147</v>
      </c>
      <c r="E190">
        <v>63.04</v>
      </c>
      <c r="F190" t="str">
        <f>VLOOKUP(A190*1,Table2[],5,TRUE)</f>
        <v>20:30:00</v>
      </c>
      <c r="G190" s="46" t="e">
        <f t="shared" si="4"/>
        <v>#VALUE!</v>
      </c>
      <c r="H190" t="e">
        <f t="shared" si="5"/>
        <v>#VALUE!</v>
      </c>
    </row>
    <row r="191" spans="1:8" x14ac:dyDescent="0.25">
      <c r="A191" t="s">
        <v>24</v>
      </c>
      <c r="B191" s="101" t="s">
        <v>208</v>
      </c>
      <c r="C191" s="46">
        <v>44347.486851851849</v>
      </c>
      <c r="D191" t="s">
        <v>147</v>
      </c>
      <c r="E191">
        <v>3.5</v>
      </c>
      <c r="F191" t="str">
        <f>VLOOKUP(A191*1,Table2[],5,TRUE)</f>
        <v>20:30:00</v>
      </c>
      <c r="G191" s="46" t="e">
        <f t="shared" si="4"/>
        <v>#VALUE!</v>
      </c>
      <c r="H191" t="e">
        <f t="shared" si="5"/>
        <v>#VALUE!</v>
      </c>
    </row>
    <row r="192" spans="1:8" x14ac:dyDescent="0.25">
      <c r="A192" t="s">
        <v>24</v>
      </c>
      <c r="B192" s="101" t="s">
        <v>217</v>
      </c>
      <c r="C192" s="46">
        <v>44347.487638888888</v>
      </c>
      <c r="D192" t="s">
        <v>148</v>
      </c>
      <c r="E192">
        <v>77.78</v>
      </c>
      <c r="F192" t="str">
        <f>VLOOKUP(A192*1,Table2[],5,TRUE)</f>
        <v>20:30:00</v>
      </c>
      <c r="G192" s="46" t="e">
        <f t="shared" si="4"/>
        <v>#VALUE!</v>
      </c>
      <c r="H192" t="e">
        <f t="shared" si="5"/>
        <v>#VALUE!</v>
      </c>
    </row>
    <row r="193" spans="1:8" x14ac:dyDescent="0.25">
      <c r="A193" t="s">
        <v>24</v>
      </c>
      <c r="B193" s="101" t="s">
        <v>217</v>
      </c>
      <c r="C193" s="46">
        <v>44347.489652777775</v>
      </c>
      <c r="D193" t="s">
        <v>146</v>
      </c>
      <c r="E193">
        <v>6.2</v>
      </c>
      <c r="F193" t="str">
        <f>VLOOKUP(A193*1,Table2[],5,TRUE)</f>
        <v>20:30:00</v>
      </c>
      <c r="G193" s="46" t="e">
        <f t="shared" si="4"/>
        <v>#VALUE!</v>
      </c>
      <c r="H193" t="e">
        <f t="shared" si="5"/>
        <v>#VALUE!</v>
      </c>
    </row>
    <row r="194" spans="1:8" x14ac:dyDescent="0.25">
      <c r="A194" t="s">
        <v>24</v>
      </c>
      <c r="B194" s="101" t="s">
        <v>208</v>
      </c>
      <c r="C194" s="46">
        <v>44347.490034722221</v>
      </c>
      <c r="D194" t="s">
        <v>146</v>
      </c>
      <c r="E194">
        <v>54.98</v>
      </c>
      <c r="F194" t="str">
        <f>VLOOKUP(A194*1,Table2[],5,TRUE)</f>
        <v>20:30:00</v>
      </c>
      <c r="G194" s="46" t="e">
        <f t="shared" ref="G194:G257" si="6">DATEVALUE(TEXT($L$2-1,"DD/MM/YYYY"))+TIMEVALUE(TEXT(F194,"HH:MM:SS"))</f>
        <v>#VALUE!</v>
      </c>
      <c r="H194" t="e">
        <f t="shared" ref="H194:H257" si="7">IF(C194&lt;G194,"Before Bank Cut Off",IF(C194&gt;=DATEVALUE($L$2),"After Midnight","In Between"))</f>
        <v>#VALUE!</v>
      </c>
    </row>
    <row r="195" spans="1:8" x14ac:dyDescent="0.25">
      <c r="A195" t="s">
        <v>24</v>
      </c>
      <c r="B195" s="101" t="s">
        <v>217</v>
      </c>
      <c r="C195" s="46">
        <v>44347.490219907406</v>
      </c>
      <c r="D195" t="s">
        <v>148</v>
      </c>
      <c r="E195">
        <v>34.99</v>
      </c>
      <c r="F195" t="str">
        <f>VLOOKUP(A195*1,Table2[],5,TRUE)</f>
        <v>20:30:00</v>
      </c>
      <c r="G195" s="46" t="e">
        <f t="shared" si="6"/>
        <v>#VALUE!</v>
      </c>
      <c r="H195" t="e">
        <f t="shared" si="7"/>
        <v>#VALUE!</v>
      </c>
    </row>
    <row r="196" spans="1:8" x14ac:dyDescent="0.25">
      <c r="A196" t="s">
        <v>24</v>
      </c>
      <c r="B196" s="101" t="s">
        <v>217</v>
      </c>
      <c r="C196" s="46">
        <v>44347.490787037037</v>
      </c>
      <c r="D196" t="s">
        <v>146</v>
      </c>
      <c r="E196">
        <v>116.88</v>
      </c>
      <c r="F196" t="str">
        <f>VLOOKUP(A196*1,Table2[],5,TRUE)</f>
        <v>20:30:00</v>
      </c>
      <c r="G196" s="46" t="e">
        <f t="shared" si="6"/>
        <v>#VALUE!</v>
      </c>
      <c r="H196" t="e">
        <f t="shared" si="7"/>
        <v>#VALUE!</v>
      </c>
    </row>
    <row r="197" spans="1:8" x14ac:dyDescent="0.25">
      <c r="A197" t="s">
        <v>24</v>
      </c>
      <c r="B197" s="101" t="s">
        <v>208</v>
      </c>
      <c r="C197" s="46">
        <v>44347.490925925929</v>
      </c>
      <c r="D197" t="s">
        <v>146</v>
      </c>
      <c r="E197">
        <v>6.15</v>
      </c>
      <c r="F197" t="str">
        <f>VLOOKUP(A197*1,Table2[],5,TRUE)</f>
        <v>20:30:00</v>
      </c>
      <c r="G197" s="46" t="e">
        <f t="shared" si="6"/>
        <v>#VALUE!</v>
      </c>
      <c r="H197" t="e">
        <f t="shared" si="7"/>
        <v>#VALUE!</v>
      </c>
    </row>
    <row r="198" spans="1:8" x14ac:dyDescent="0.25">
      <c r="A198" t="s">
        <v>24</v>
      </c>
      <c r="B198" s="101" t="s">
        <v>208</v>
      </c>
      <c r="C198" s="46">
        <v>44347.491354166668</v>
      </c>
      <c r="D198" t="s">
        <v>147</v>
      </c>
      <c r="E198">
        <v>58.94</v>
      </c>
      <c r="F198" t="str">
        <f>VLOOKUP(A198*1,Table2[],5,TRUE)</f>
        <v>20:30:00</v>
      </c>
      <c r="G198" s="46" t="e">
        <f t="shared" si="6"/>
        <v>#VALUE!</v>
      </c>
      <c r="H198" t="e">
        <f t="shared" si="7"/>
        <v>#VALUE!</v>
      </c>
    </row>
    <row r="199" spans="1:8" x14ac:dyDescent="0.25">
      <c r="A199" t="s">
        <v>24</v>
      </c>
      <c r="B199" s="101" t="s">
        <v>208</v>
      </c>
      <c r="C199" s="46">
        <v>44347.491689814815</v>
      </c>
      <c r="D199" t="s">
        <v>146</v>
      </c>
      <c r="E199">
        <v>6.7</v>
      </c>
      <c r="F199" t="str">
        <f>VLOOKUP(A199*1,Table2[],5,TRUE)</f>
        <v>20:30:00</v>
      </c>
      <c r="G199" s="46" t="e">
        <f t="shared" si="6"/>
        <v>#VALUE!</v>
      </c>
      <c r="H199" t="e">
        <f t="shared" si="7"/>
        <v>#VALUE!</v>
      </c>
    </row>
    <row r="200" spans="1:8" x14ac:dyDescent="0.25">
      <c r="A200" t="s">
        <v>24</v>
      </c>
      <c r="B200" s="101" t="s">
        <v>217</v>
      </c>
      <c r="C200" s="46">
        <v>44347.491793981484</v>
      </c>
      <c r="D200" t="s">
        <v>147</v>
      </c>
      <c r="E200">
        <v>128.65</v>
      </c>
      <c r="F200" t="str">
        <f>VLOOKUP(A200*1,Table2[],5,TRUE)</f>
        <v>20:30:00</v>
      </c>
      <c r="G200" s="46" t="e">
        <f t="shared" si="6"/>
        <v>#VALUE!</v>
      </c>
      <c r="H200" t="e">
        <f t="shared" si="7"/>
        <v>#VALUE!</v>
      </c>
    </row>
    <row r="201" spans="1:8" x14ac:dyDescent="0.25">
      <c r="A201" t="s">
        <v>24</v>
      </c>
      <c r="B201" s="101" t="s">
        <v>208</v>
      </c>
      <c r="C201" s="46">
        <v>44347.492060185185</v>
      </c>
      <c r="D201" t="s">
        <v>147</v>
      </c>
      <c r="E201">
        <v>19.8</v>
      </c>
      <c r="F201" t="str">
        <f>VLOOKUP(A201*1,Table2[],5,TRUE)</f>
        <v>20:30:00</v>
      </c>
      <c r="G201" s="46" t="e">
        <f t="shared" si="6"/>
        <v>#VALUE!</v>
      </c>
      <c r="H201" t="e">
        <f t="shared" si="7"/>
        <v>#VALUE!</v>
      </c>
    </row>
    <row r="202" spans="1:8" x14ac:dyDescent="0.25">
      <c r="A202" t="s">
        <v>24</v>
      </c>
      <c r="B202" s="101" t="s">
        <v>208</v>
      </c>
      <c r="C202" s="46">
        <v>44347.492395833331</v>
      </c>
      <c r="D202" t="s">
        <v>146</v>
      </c>
      <c r="E202">
        <v>8</v>
      </c>
      <c r="F202" t="str">
        <f>VLOOKUP(A202*1,Table2[],5,TRUE)</f>
        <v>20:30:00</v>
      </c>
      <c r="G202" s="46" t="e">
        <f t="shared" si="6"/>
        <v>#VALUE!</v>
      </c>
      <c r="H202" t="e">
        <f t="shared" si="7"/>
        <v>#VALUE!</v>
      </c>
    </row>
    <row r="203" spans="1:8" x14ac:dyDescent="0.25">
      <c r="A203" t="s">
        <v>24</v>
      </c>
      <c r="B203" s="101" t="s">
        <v>208</v>
      </c>
      <c r="C203" s="46">
        <v>44347.492685185185</v>
      </c>
      <c r="D203" t="s">
        <v>147</v>
      </c>
      <c r="E203">
        <v>9.99</v>
      </c>
      <c r="F203" t="str">
        <f>VLOOKUP(A203*1,Table2[],5,TRUE)</f>
        <v>20:30:00</v>
      </c>
      <c r="G203" s="46" t="e">
        <f t="shared" si="6"/>
        <v>#VALUE!</v>
      </c>
      <c r="H203" t="e">
        <f t="shared" si="7"/>
        <v>#VALUE!</v>
      </c>
    </row>
    <row r="204" spans="1:8" x14ac:dyDescent="0.25">
      <c r="A204" t="s">
        <v>24</v>
      </c>
      <c r="B204" s="101" t="s">
        <v>208</v>
      </c>
      <c r="C204" s="46">
        <v>44347.492951388886</v>
      </c>
      <c r="D204" t="s">
        <v>147</v>
      </c>
      <c r="E204">
        <v>32.99</v>
      </c>
      <c r="F204" t="str">
        <f>VLOOKUP(A204*1,Table2[],5,TRUE)</f>
        <v>20:30:00</v>
      </c>
      <c r="G204" s="46" t="e">
        <f t="shared" si="6"/>
        <v>#VALUE!</v>
      </c>
      <c r="H204" t="e">
        <f t="shared" si="7"/>
        <v>#VALUE!</v>
      </c>
    </row>
    <row r="205" spans="1:8" x14ac:dyDescent="0.25">
      <c r="A205" t="s">
        <v>24</v>
      </c>
      <c r="B205" s="101" t="s">
        <v>217</v>
      </c>
      <c r="C205" s="46">
        <v>44347.494155092594</v>
      </c>
      <c r="D205" t="s">
        <v>147</v>
      </c>
      <c r="E205">
        <v>81.99</v>
      </c>
      <c r="F205" t="str">
        <f>VLOOKUP(A205*1,Table2[],5,TRUE)</f>
        <v>20:30:00</v>
      </c>
      <c r="G205" s="46" t="e">
        <f t="shared" si="6"/>
        <v>#VALUE!</v>
      </c>
      <c r="H205" t="e">
        <f t="shared" si="7"/>
        <v>#VALUE!</v>
      </c>
    </row>
    <row r="206" spans="1:8" x14ac:dyDescent="0.25">
      <c r="A206" t="s">
        <v>24</v>
      </c>
      <c r="B206" s="101" t="s">
        <v>208</v>
      </c>
      <c r="C206" s="46">
        <v>44347.49422453704</v>
      </c>
      <c r="D206" t="s">
        <v>148</v>
      </c>
      <c r="E206">
        <v>52.74</v>
      </c>
      <c r="F206" t="str">
        <f>VLOOKUP(A206*1,Table2[],5,TRUE)</f>
        <v>20:30:00</v>
      </c>
      <c r="G206" s="46" t="e">
        <f t="shared" si="6"/>
        <v>#VALUE!</v>
      </c>
      <c r="H206" t="e">
        <f t="shared" si="7"/>
        <v>#VALUE!</v>
      </c>
    </row>
    <row r="207" spans="1:8" x14ac:dyDescent="0.25">
      <c r="A207" t="s">
        <v>24</v>
      </c>
      <c r="B207" s="101" t="s">
        <v>217</v>
      </c>
      <c r="C207" s="46">
        <v>44347.494560185187</v>
      </c>
      <c r="D207" t="s">
        <v>146</v>
      </c>
      <c r="E207">
        <v>21.97</v>
      </c>
      <c r="F207" t="str">
        <f>VLOOKUP(A207*1,Table2[],5,TRUE)</f>
        <v>20:30:00</v>
      </c>
      <c r="G207" s="46" t="e">
        <f t="shared" si="6"/>
        <v>#VALUE!</v>
      </c>
      <c r="H207" t="e">
        <f t="shared" si="7"/>
        <v>#VALUE!</v>
      </c>
    </row>
    <row r="208" spans="1:8" x14ac:dyDescent="0.25">
      <c r="A208" t="s">
        <v>24</v>
      </c>
      <c r="B208" s="101" t="s">
        <v>217</v>
      </c>
      <c r="C208" s="46">
        <v>44347.494803240741</v>
      </c>
      <c r="D208" t="s">
        <v>146</v>
      </c>
      <c r="E208">
        <v>5.95</v>
      </c>
      <c r="F208" t="str">
        <f>VLOOKUP(A208*1,Table2[],5,TRUE)</f>
        <v>20:30:00</v>
      </c>
      <c r="G208" s="46" t="e">
        <f t="shared" si="6"/>
        <v>#VALUE!</v>
      </c>
      <c r="H208" t="e">
        <f t="shared" si="7"/>
        <v>#VALUE!</v>
      </c>
    </row>
    <row r="209" spans="1:8" x14ac:dyDescent="0.25">
      <c r="A209" t="s">
        <v>24</v>
      </c>
      <c r="B209" s="101" t="s">
        <v>217</v>
      </c>
      <c r="C209" s="46">
        <v>44347.495312500003</v>
      </c>
      <c r="D209" t="s">
        <v>146</v>
      </c>
      <c r="E209">
        <v>30.54</v>
      </c>
      <c r="F209" t="str">
        <f>VLOOKUP(A209*1,Table2[],5,TRUE)</f>
        <v>20:30:00</v>
      </c>
      <c r="G209" s="46" t="e">
        <f t="shared" si="6"/>
        <v>#VALUE!</v>
      </c>
      <c r="H209" t="e">
        <f t="shared" si="7"/>
        <v>#VALUE!</v>
      </c>
    </row>
    <row r="211" spans="1:8" x14ac:dyDescent="0.25">
      <c r="A211" t="s">
        <v>24</v>
      </c>
      <c r="B211" s="101" t="s">
        <v>208</v>
      </c>
      <c r="C211" s="46">
        <v>44347.495844907404</v>
      </c>
      <c r="D211" t="s">
        <v>147</v>
      </c>
      <c r="E211">
        <v>2.2000000000000002</v>
      </c>
      <c r="F211" t="str">
        <f>VLOOKUP(A211*1,Table2[],5,TRUE)</f>
        <v>20:30:00</v>
      </c>
      <c r="G211" s="46" t="e">
        <f t="shared" si="6"/>
        <v>#VALUE!</v>
      </c>
      <c r="H211" t="e">
        <f t="shared" si="7"/>
        <v>#VALUE!</v>
      </c>
    </row>
    <row r="212" spans="1:8" x14ac:dyDescent="0.25">
      <c r="A212" t="s">
        <v>24</v>
      </c>
      <c r="B212" s="101" t="s">
        <v>208</v>
      </c>
      <c r="C212" s="46">
        <v>44347.498611111114</v>
      </c>
      <c r="D212" t="s">
        <v>146</v>
      </c>
      <c r="E212">
        <v>6.2</v>
      </c>
      <c r="F212" t="str">
        <f>VLOOKUP(A212*1,Table2[],5,TRUE)</f>
        <v>20:30:00</v>
      </c>
      <c r="G212" s="46" t="e">
        <f t="shared" si="6"/>
        <v>#VALUE!</v>
      </c>
      <c r="H212" t="e">
        <f t="shared" si="7"/>
        <v>#VALUE!</v>
      </c>
    </row>
    <row r="213" spans="1:8" x14ac:dyDescent="0.25">
      <c r="A213" t="s">
        <v>24</v>
      </c>
      <c r="B213" s="101" t="s">
        <v>208</v>
      </c>
      <c r="C213" s="46">
        <v>44347.49895833333</v>
      </c>
      <c r="D213" t="s">
        <v>147</v>
      </c>
      <c r="E213">
        <v>25.19</v>
      </c>
      <c r="F213" t="str">
        <f>VLOOKUP(A213*1,Table2[],5,TRUE)</f>
        <v>20:30:00</v>
      </c>
      <c r="G213" s="46" t="e">
        <f t="shared" si="6"/>
        <v>#VALUE!</v>
      </c>
      <c r="H213" t="e">
        <f t="shared" si="7"/>
        <v>#VALUE!</v>
      </c>
    </row>
    <row r="214" spans="1:8" x14ac:dyDescent="0.25">
      <c r="A214" t="s">
        <v>24</v>
      </c>
      <c r="B214" s="101" t="s">
        <v>217</v>
      </c>
      <c r="C214" s="46">
        <v>44347.499421296299</v>
      </c>
      <c r="D214" t="s">
        <v>147</v>
      </c>
      <c r="E214">
        <v>6.1</v>
      </c>
      <c r="F214" t="str">
        <f>VLOOKUP(A214*1,Table2[],5,TRUE)</f>
        <v>20:30:00</v>
      </c>
      <c r="G214" s="46" t="e">
        <f t="shared" si="6"/>
        <v>#VALUE!</v>
      </c>
      <c r="H214" t="e">
        <f t="shared" si="7"/>
        <v>#VALUE!</v>
      </c>
    </row>
    <row r="215" spans="1:8" x14ac:dyDescent="0.25">
      <c r="A215" t="s">
        <v>24</v>
      </c>
      <c r="B215" s="101" t="s">
        <v>208</v>
      </c>
      <c r="C215" s="46">
        <v>44347.499664351853</v>
      </c>
      <c r="D215" t="s">
        <v>146</v>
      </c>
      <c r="E215">
        <v>9.8000000000000007</v>
      </c>
      <c r="F215" t="str">
        <f>VLOOKUP(A215*1,Table2[],5,TRUE)</f>
        <v>20:30:00</v>
      </c>
      <c r="G215" s="46" t="e">
        <f t="shared" si="6"/>
        <v>#VALUE!</v>
      </c>
      <c r="H215" t="e">
        <f t="shared" si="7"/>
        <v>#VALUE!</v>
      </c>
    </row>
    <row r="216" spans="1:8" x14ac:dyDescent="0.25">
      <c r="A216" t="s">
        <v>24</v>
      </c>
      <c r="B216" s="101" t="s">
        <v>217</v>
      </c>
      <c r="C216" s="46">
        <v>44347.499710648146</v>
      </c>
      <c r="D216" t="s">
        <v>148</v>
      </c>
      <c r="E216">
        <v>24.98</v>
      </c>
      <c r="F216" t="str">
        <f>VLOOKUP(A216*1,Table2[],5,TRUE)</f>
        <v>20:30:00</v>
      </c>
      <c r="G216" s="46" t="e">
        <f t="shared" si="6"/>
        <v>#VALUE!</v>
      </c>
      <c r="H216" t="e">
        <f t="shared" si="7"/>
        <v>#VALUE!</v>
      </c>
    </row>
    <row r="217" spans="1:8" x14ac:dyDescent="0.25">
      <c r="A217" t="s">
        <v>24</v>
      </c>
      <c r="B217" s="101" t="s">
        <v>217</v>
      </c>
      <c r="C217" s="46">
        <v>44347.500023148146</v>
      </c>
      <c r="D217" t="s">
        <v>146</v>
      </c>
      <c r="E217">
        <v>14.99</v>
      </c>
      <c r="F217" t="str">
        <f>VLOOKUP(A217*1,Table2[],5,TRUE)</f>
        <v>20:30:00</v>
      </c>
      <c r="G217" s="46" t="e">
        <f t="shared" si="6"/>
        <v>#VALUE!</v>
      </c>
      <c r="H217" t="e">
        <f t="shared" si="7"/>
        <v>#VALUE!</v>
      </c>
    </row>
    <row r="218" spans="1:8" x14ac:dyDescent="0.25">
      <c r="A218" t="s">
        <v>24</v>
      </c>
      <c r="B218" s="101" t="s">
        <v>208</v>
      </c>
      <c r="C218" s="46">
        <v>44347.500057870369</v>
      </c>
      <c r="D218" t="s">
        <v>146</v>
      </c>
      <c r="E218">
        <v>12.4</v>
      </c>
      <c r="F218" t="str">
        <f>VLOOKUP(A218*1,Table2[],5,TRUE)</f>
        <v>20:30:00</v>
      </c>
      <c r="G218" s="46" t="e">
        <f t="shared" si="6"/>
        <v>#VALUE!</v>
      </c>
      <c r="H218" t="e">
        <f t="shared" si="7"/>
        <v>#VALUE!</v>
      </c>
    </row>
    <row r="219" spans="1:8" x14ac:dyDescent="0.25">
      <c r="A219" t="s">
        <v>24</v>
      </c>
      <c r="B219" s="101" t="s">
        <v>208</v>
      </c>
      <c r="C219" s="46">
        <v>44347.500509259262</v>
      </c>
      <c r="D219" t="s">
        <v>148</v>
      </c>
      <c r="E219">
        <v>23.45</v>
      </c>
      <c r="F219" t="str">
        <f>VLOOKUP(A219*1,Table2[],5,TRUE)</f>
        <v>20:30:00</v>
      </c>
      <c r="G219" s="46" t="e">
        <f t="shared" si="6"/>
        <v>#VALUE!</v>
      </c>
      <c r="H219" t="e">
        <f t="shared" si="7"/>
        <v>#VALUE!</v>
      </c>
    </row>
    <row r="220" spans="1:8" x14ac:dyDescent="0.25">
      <c r="A220" t="s">
        <v>24</v>
      </c>
      <c r="B220" s="101" t="s">
        <v>217</v>
      </c>
      <c r="C220" s="46">
        <v>44347.500590277778</v>
      </c>
      <c r="D220" t="s">
        <v>147</v>
      </c>
      <c r="E220">
        <v>25.49</v>
      </c>
      <c r="F220" t="str">
        <f>VLOOKUP(A220*1,Table2[],5,TRUE)</f>
        <v>20:30:00</v>
      </c>
      <c r="G220" s="46" t="e">
        <f t="shared" si="6"/>
        <v>#VALUE!</v>
      </c>
      <c r="H220" t="e">
        <f t="shared" si="7"/>
        <v>#VALUE!</v>
      </c>
    </row>
    <row r="221" spans="1:8" x14ac:dyDescent="0.25">
      <c r="A221" t="s">
        <v>24</v>
      </c>
      <c r="B221" s="101" t="s">
        <v>217</v>
      </c>
      <c r="C221" s="46">
        <v>44347.501122685186</v>
      </c>
      <c r="D221" t="s">
        <v>146</v>
      </c>
      <c r="E221">
        <v>7</v>
      </c>
      <c r="F221" t="str">
        <f>VLOOKUP(A221*1,Table2[],5,TRUE)</f>
        <v>20:30:00</v>
      </c>
      <c r="G221" s="46" t="e">
        <f t="shared" si="6"/>
        <v>#VALUE!</v>
      </c>
      <c r="H221" t="e">
        <f t="shared" si="7"/>
        <v>#VALUE!</v>
      </c>
    </row>
    <row r="222" spans="1:8" x14ac:dyDescent="0.25">
      <c r="A222" t="s">
        <v>24</v>
      </c>
      <c r="B222" s="101" t="s">
        <v>208</v>
      </c>
      <c r="C222" s="46">
        <v>44347.501296296294</v>
      </c>
      <c r="D222" t="s">
        <v>148</v>
      </c>
      <c r="E222">
        <v>34.99</v>
      </c>
      <c r="F222" t="str">
        <f>VLOOKUP(A222*1,Table2[],5,TRUE)</f>
        <v>20:30:00</v>
      </c>
      <c r="G222" s="46" t="e">
        <f t="shared" si="6"/>
        <v>#VALUE!</v>
      </c>
      <c r="H222" t="e">
        <f t="shared" si="7"/>
        <v>#VALUE!</v>
      </c>
    </row>
    <row r="223" spans="1:8" x14ac:dyDescent="0.25">
      <c r="A223" t="s">
        <v>24</v>
      </c>
      <c r="B223" s="101" t="s">
        <v>208</v>
      </c>
      <c r="C223" s="46">
        <v>44347.502418981479</v>
      </c>
      <c r="D223" t="s">
        <v>147</v>
      </c>
      <c r="E223">
        <v>11.2</v>
      </c>
      <c r="F223" t="str">
        <f>VLOOKUP(A223*1,Table2[],5,TRUE)</f>
        <v>20:30:00</v>
      </c>
      <c r="G223" s="46" t="e">
        <f t="shared" si="6"/>
        <v>#VALUE!</v>
      </c>
      <c r="H223" t="e">
        <f t="shared" si="7"/>
        <v>#VALUE!</v>
      </c>
    </row>
    <row r="224" spans="1:8" x14ac:dyDescent="0.25">
      <c r="A224" t="s">
        <v>24</v>
      </c>
      <c r="B224" s="101" t="s">
        <v>217</v>
      </c>
      <c r="C224" s="46">
        <v>44347.502789351849</v>
      </c>
      <c r="D224" t="s">
        <v>147</v>
      </c>
      <c r="E224">
        <v>7.5</v>
      </c>
      <c r="F224" t="str">
        <f>VLOOKUP(A224*1,Table2[],5,TRUE)</f>
        <v>20:30:00</v>
      </c>
      <c r="G224" s="46" t="e">
        <f t="shared" si="6"/>
        <v>#VALUE!</v>
      </c>
      <c r="H224" t="e">
        <f t="shared" si="7"/>
        <v>#VALUE!</v>
      </c>
    </row>
    <row r="225" spans="1:8" x14ac:dyDescent="0.25">
      <c r="A225" t="s">
        <v>24</v>
      </c>
      <c r="B225" s="101" t="s">
        <v>208</v>
      </c>
      <c r="C225" s="46">
        <v>44347.502905092595</v>
      </c>
      <c r="D225" t="s">
        <v>147</v>
      </c>
      <c r="E225">
        <v>5</v>
      </c>
      <c r="F225" t="str">
        <f>VLOOKUP(A225*1,Table2[],5,TRUE)</f>
        <v>20:30:00</v>
      </c>
      <c r="G225" s="46" t="e">
        <f t="shared" si="6"/>
        <v>#VALUE!</v>
      </c>
      <c r="H225" t="e">
        <f t="shared" si="7"/>
        <v>#VALUE!</v>
      </c>
    </row>
    <row r="226" spans="1:8" x14ac:dyDescent="0.25">
      <c r="A226" t="s">
        <v>24</v>
      </c>
      <c r="B226" s="101" t="s">
        <v>208</v>
      </c>
      <c r="C226" s="46">
        <v>44347.506666666668</v>
      </c>
      <c r="D226" t="s">
        <v>146</v>
      </c>
      <c r="E226">
        <v>5.15</v>
      </c>
      <c r="F226" t="str">
        <f>VLOOKUP(A226*1,Table2[],5,TRUE)</f>
        <v>20:30:00</v>
      </c>
      <c r="G226" s="46" t="e">
        <f t="shared" si="6"/>
        <v>#VALUE!</v>
      </c>
      <c r="H226" t="e">
        <f t="shared" si="7"/>
        <v>#VALUE!</v>
      </c>
    </row>
    <row r="227" spans="1:8" x14ac:dyDescent="0.25">
      <c r="A227" t="s">
        <v>24</v>
      </c>
      <c r="B227" s="101" t="s">
        <v>208</v>
      </c>
      <c r="C227" s="46">
        <v>44347.506932870368</v>
      </c>
      <c r="D227" t="s">
        <v>147</v>
      </c>
      <c r="E227">
        <v>2.6</v>
      </c>
      <c r="F227" t="str">
        <f>VLOOKUP(A227*1,Table2[],5,TRUE)</f>
        <v>20:30:00</v>
      </c>
      <c r="G227" s="46" t="e">
        <f t="shared" si="6"/>
        <v>#VALUE!</v>
      </c>
      <c r="H227" t="e">
        <f t="shared" si="7"/>
        <v>#VALUE!</v>
      </c>
    </row>
    <row r="228" spans="1:8" x14ac:dyDescent="0.25">
      <c r="A228" t="s">
        <v>24</v>
      </c>
      <c r="B228" s="101" t="s">
        <v>208</v>
      </c>
      <c r="C228" s="46">
        <v>44347.507905092592</v>
      </c>
      <c r="D228" t="s">
        <v>147</v>
      </c>
      <c r="E228">
        <v>17.350000000000001</v>
      </c>
      <c r="F228" t="str">
        <f>VLOOKUP(A228*1,Table2[],5,TRUE)</f>
        <v>20:30:00</v>
      </c>
      <c r="G228" s="46" t="e">
        <f t="shared" si="6"/>
        <v>#VALUE!</v>
      </c>
      <c r="H228" t="e">
        <f t="shared" si="7"/>
        <v>#VALUE!</v>
      </c>
    </row>
    <row r="229" spans="1:8" x14ac:dyDescent="0.25">
      <c r="A229" t="s">
        <v>24</v>
      </c>
      <c r="B229" s="101" t="s">
        <v>208</v>
      </c>
      <c r="C229" s="46">
        <v>44347.508518518516</v>
      </c>
      <c r="D229" t="s">
        <v>147</v>
      </c>
      <c r="E229">
        <v>42.98</v>
      </c>
      <c r="F229" t="str">
        <f>VLOOKUP(A229*1,Table2[],5,TRUE)</f>
        <v>20:30:00</v>
      </c>
      <c r="G229" s="46" t="e">
        <f t="shared" si="6"/>
        <v>#VALUE!</v>
      </c>
      <c r="H229" t="e">
        <f t="shared" si="7"/>
        <v>#VALUE!</v>
      </c>
    </row>
    <row r="230" spans="1:8" x14ac:dyDescent="0.25">
      <c r="A230" t="s">
        <v>24</v>
      </c>
      <c r="B230" s="101" t="s">
        <v>208</v>
      </c>
      <c r="C230" s="46">
        <v>44347.508969907409</v>
      </c>
      <c r="D230" t="s">
        <v>146</v>
      </c>
      <c r="E230">
        <v>12</v>
      </c>
      <c r="F230" t="str">
        <f>VLOOKUP(A230*1,Table2[],5,TRUE)</f>
        <v>20:30:00</v>
      </c>
      <c r="G230" s="46" t="e">
        <f t="shared" si="6"/>
        <v>#VALUE!</v>
      </c>
      <c r="H230" t="e">
        <f t="shared" si="7"/>
        <v>#VALUE!</v>
      </c>
    </row>
    <row r="231" spans="1:8" x14ac:dyDescent="0.25">
      <c r="A231" t="s">
        <v>24</v>
      </c>
      <c r="B231" s="101" t="s">
        <v>217</v>
      </c>
      <c r="C231" s="46">
        <v>44347.51021990741</v>
      </c>
      <c r="D231" t="s">
        <v>147</v>
      </c>
      <c r="E231">
        <v>10.7</v>
      </c>
      <c r="F231" t="str">
        <f>VLOOKUP(A231*1,Table2[],5,TRUE)</f>
        <v>20:30:00</v>
      </c>
      <c r="G231" s="46" t="e">
        <f t="shared" si="6"/>
        <v>#VALUE!</v>
      </c>
      <c r="H231" t="e">
        <f t="shared" si="7"/>
        <v>#VALUE!</v>
      </c>
    </row>
    <row r="232" spans="1:8" x14ac:dyDescent="0.25">
      <c r="A232" t="s">
        <v>24</v>
      </c>
      <c r="B232" s="101" t="s">
        <v>217</v>
      </c>
      <c r="C232" s="46">
        <v>44347.51048611111</v>
      </c>
      <c r="D232" t="s">
        <v>146</v>
      </c>
      <c r="E232">
        <v>16</v>
      </c>
      <c r="F232" t="str">
        <f>VLOOKUP(A232*1,Table2[],5,TRUE)</f>
        <v>20:30:00</v>
      </c>
      <c r="G232" s="46" t="e">
        <f t="shared" si="6"/>
        <v>#VALUE!</v>
      </c>
      <c r="H232" t="e">
        <f t="shared" si="7"/>
        <v>#VALUE!</v>
      </c>
    </row>
    <row r="233" spans="1:8" x14ac:dyDescent="0.25">
      <c r="A233" t="s">
        <v>24</v>
      </c>
      <c r="B233" s="101" t="s">
        <v>217</v>
      </c>
      <c r="C233" s="46">
        <v>44347.510740740741</v>
      </c>
      <c r="D233" t="s">
        <v>147</v>
      </c>
      <c r="E233">
        <v>9.19</v>
      </c>
      <c r="F233" t="str">
        <f>VLOOKUP(A233*1,Table2[],5,TRUE)</f>
        <v>20:30:00</v>
      </c>
      <c r="G233" s="46" t="e">
        <f t="shared" si="6"/>
        <v>#VALUE!</v>
      </c>
      <c r="H233" t="e">
        <f t="shared" si="7"/>
        <v>#VALUE!</v>
      </c>
    </row>
    <row r="234" spans="1:8" x14ac:dyDescent="0.25">
      <c r="A234" t="s">
        <v>24</v>
      </c>
      <c r="B234" s="101" t="s">
        <v>217</v>
      </c>
      <c r="C234" s="46">
        <v>44347.510914351849</v>
      </c>
      <c r="D234" t="s">
        <v>147</v>
      </c>
      <c r="E234">
        <v>14.99</v>
      </c>
      <c r="F234" t="str">
        <f>VLOOKUP(A234*1,Table2[],5,TRUE)</f>
        <v>20:30:00</v>
      </c>
      <c r="G234" s="46" t="e">
        <f t="shared" si="6"/>
        <v>#VALUE!</v>
      </c>
      <c r="H234" t="e">
        <f t="shared" si="7"/>
        <v>#VALUE!</v>
      </c>
    </row>
    <row r="235" spans="1:8" x14ac:dyDescent="0.25">
      <c r="A235" t="s">
        <v>24</v>
      </c>
      <c r="B235" s="101" t="s">
        <v>217</v>
      </c>
      <c r="C235" s="46">
        <v>44347.512372685182</v>
      </c>
      <c r="D235" t="s">
        <v>148</v>
      </c>
      <c r="E235">
        <v>14.97</v>
      </c>
      <c r="F235" t="str">
        <f>VLOOKUP(A235*1,Table2[],5,TRUE)</f>
        <v>20:30:00</v>
      </c>
      <c r="G235" s="46" t="e">
        <f t="shared" si="6"/>
        <v>#VALUE!</v>
      </c>
      <c r="H235" t="e">
        <f t="shared" si="7"/>
        <v>#VALUE!</v>
      </c>
    </row>
    <row r="236" spans="1:8" x14ac:dyDescent="0.25">
      <c r="A236" t="s">
        <v>24</v>
      </c>
      <c r="B236" s="101" t="s">
        <v>217</v>
      </c>
      <c r="C236" s="46">
        <v>44347.513553240744</v>
      </c>
      <c r="D236" t="s">
        <v>147</v>
      </c>
      <c r="E236">
        <v>7</v>
      </c>
      <c r="F236" t="str">
        <f>VLOOKUP(A236*1,Table2[],5,TRUE)</f>
        <v>20:30:00</v>
      </c>
      <c r="G236" s="46" t="e">
        <f t="shared" si="6"/>
        <v>#VALUE!</v>
      </c>
      <c r="H236" t="e">
        <f t="shared" si="7"/>
        <v>#VALUE!</v>
      </c>
    </row>
    <row r="237" spans="1:8" x14ac:dyDescent="0.25">
      <c r="A237" t="s">
        <v>24</v>
      </c>
      <c r="B237" s="101" t="s">
        <v>217</v>
      </c>
      <c r="C237" s="46">
        <v>44347.514641203707</v>
      </c>
      <c r="D237" t="s">
        <v>146</v>
      </c>
      <c r="E237">
        <v>24.99</v>
      </c>
      <c r="F237" t="str">
        <f>VLOOKUP(A237*1,Table2[],5,TRUE)</f>
        <v>20:30:00</v>
      </c>
      <c r="G237" s="46" t="e">
        <f t="shared" si="6"/>
        <v>#VALUE!</v>
      </c>
      <c r="H237" t="e">
        <f t="shared" si="7"/>
        <v>#VALUE!</v>
      </c>
    </row>
    <row r="238" spans="1:8" x14ac:dyDescent="0.25">
      <c r="A238" t="s">
        <v>24</v>
      </c>
      <c r="B238" s="101" t="s">
        <v>208</v>
      </c>
      <c r="C238" s="46">
        <v>44347.516597222224</v>
      </c>
      <c r="D238" t="s">
        <v>147</v>
      </c>
      <c r="E238">
        <v>8</v>
      </c>
      <c r="F238" t="str">
        <f>VLOOKUP(A238*1,Table2[],5,TRUE)</f>
        <v>20:30:00</v>
      </c>
      <c r="G238" s="46" t="e">
        <f t="shared" si="6"/>
        <v>#VALUE!</v>
      </c>
      <c r="H238" t="e">
        <f t="shared" si="7"/>
        <v>#VALUE!</v>
      </c>
    </row>
    <row r="239" spans="1:8" x14ac:dyDescent="0.25">
      <c r="A239" t="s">
        <v>24</v>
      </c>
      <c r="B239" s="101" t="s">
        <v>208</v>
      </c>
      <c r="C239" s="46">
        <v>44347.518020833333</v>
      </c>
      <c r="D239" t="s">
        <v>148</v>
      </c>
      <c r="E239">
        <v>13.8</v>
      </c>
      <c r="F239" t="str">
        <f>VLOOKUP(A239*1,Table2[],5,TRUE)</f>
        <v>20:30:00</v>
      </c>
      <c r="G239" s="46" t="e">
        <f t="shared" si="6"/>
        <v>#VALUE!</v>
      </c>
      <c r="H239" t="e">
        <f t="shared" si="7"/>
        <v>#VALUE!</v>
      </c>
    </row>
    <row r="240" spans="1:8" x14ac:dyDescent="0.25">
      <c r="A240" t="s">
        <v>24</v>
      </c>
      <c r="B240" s="101" t="s">
        <v>217</v>
      </c>
      <c r="C240" s="46">
        <v>44347.518125000002</v>
      </c>
      <c r="D240" t="s">
        <v>147</v>
      </c>
      <c r="E240">
        <v>12</v>
      </c>
      <c r="F240" t="str">
        <f>VLOOKUP(A240*1,Table2[],5,TRUE)</f>
        <v>20:30:00</v>
      </c>
      <c r="G240" s="46" t="e">
        <f t="shared" si="6"/>
        <v>#VALUE!</v>
      </c>
      <c r="H240" t="e">
        <f t="shared" si="7"/>
        <v>#VALUE!</v>
      </c>
    </row>
    <row r="241" spans="1:8" x14ac:dyDescent="0.25">
      <c r="A241" t="s">
        <v>24</v>
      </c>
      <c r="B241" s="101" t="s">
        <v>208</v>
      </c>
      <c r="C241" s="46">
        <v>44347.519108796296</v>
      </c>
      <c r="D241" t="s">
        <v>146</v>
      </c>
      <c r="E241">
        <v>5</v>
      </c>
      <c r="F241" t="str">
        <f>VLOOKUP(A241*1,Table2[],5,TRUE)</f>
        <v>20:30:00</v>
      </c>
      <c r="G241" s="46" t="e">
        <f t="shared" si="6"/>
        <v>#VALUE!</v>
      </c>
      <c r="H241" t="e">
        <f t="shared" si="7"/>
        <v>#VALUE!</v>
      </c>
    </row>
    <row r="242" spans="1:8" x14ac:dyDescent="0.25">
      <c r="A242" t="s">
        <v>24</v>
      </c>
      <c r="B242" s="101" t="s">
        <v>217</v>
      </c>
      <c r="C242" s="46">
        <v>44347.519999999997</v>
      </c>
      <c r="D242" t="s">
        <v>147</v>
      </c>
      <c r="E242">
        <v>6.7</v>
      </c>
      <c r="F242" t="str">
        <f>VLOOKUP(A242*1,Table2[],5,TRUE)</f>
        <v>20:30:00</v>
      </c>
      <c r="G242" s="46" t="e">
        <f t="shared" si="6"/>
        <v>#VALUE!</v>
      </c>
      <c r="H242" t="e">
        <f t="shared" si="7"/>
        <v>#VALUE!</v>
      </c>
    </row>
    <row r="243" spans="1:8" x14ac:dyDescent="0.25">
      <c r="A243" t="s">
        <v>24</v>
      </c>
      <c r="B243" s="101" t="s">
        <v>208</v>
      </c>
      <c r="C243" s="46">
        <v>44347.519999999997</v>
      </c>
      <c r="D243" t="s">
        <v>148</v>
      </c>
      <c r="E243">
        <v>6.1</v>
      </c>
      <c r="F243" t="str">
        <f>VLOOKUP(A243*1,Table2[],5,TRUE)</f>
        <v>20:30:00</v>
      </c>
      <c r="G243" s="46" t="e">
        <f t="shared" si="6"/>
        <v>#VALUE!</v>
      </c>
      <c r="H243" t="e">
        <f t="shared" si="7"/>
        <v>#VALUE!</v>
      </c>
    </row>
    <row r="244" spans="1:8" x14ac:dyDescent="0.25">
      <c r="A244" t="s">
        <v>24</v>
      </c>
      <c r="B244" s="101" t="s">
        <v>208</v>
      </c>
      <c r="C244" s="46">
        <v>44347.520590277774</v>
      </c>
      <c r="D244" t="s">
        <v>147</v>
      </c>
      <c r="E244">
        <v>17.75</v>
      </c>
      <c r="F244" t="str">
        <f>VLOOKUP(A244*1,Table2[],5,TRUE)</f>
        <v>20:30:00</v>
      </c>
      <c r="G244" s="46" t="e">
        <f t="shared" si="6"/>
        <v>#VALUE!</v>
      </c>
      <c r="H244" t="e">
        <f t="shared" si="7"/>
        <v>#VALUE!</v>
      </c>
    </row>
    <row r="245" spans="1:8" x14ac:dyDescent="0.25">
      <c r="A245" t="s">
        <v>24</v>
      </c>
      <c r="B245" s="101" t="s">
        <v>217</v>
      </c>
      <c r="C245" s="46">
        <v>44347.522141203706</v>
      </c>
      <c r="D245" t="s">
        <v>147</v>
      </c>
      <c r="E245">
        <v>6</v>
      </c>
      <c r="F245" t="str">
        <f>VLOOKUP(A245*1,Table2[],5,TRUE)</f>
        <v>20:30:00</v>
      </c>
      <c r="G245" s="46" t="e">
        <f t="shared" si="6"/>
        <v>#VALUE!</v>
      </c>
      <c r="H245" t="e">
        <f t="shared" si="7"/>
        <v>#VALUE!</v>
      </c>
    </row>
    <row r="246" spans="1:8" x14ac:dyDescent="0.25">
      <c r="A246" t="s">
        <v>24</v>
      </c>
      <c r="B246" s="101" t="s">
        <v>217</v>
      </c>
      <c r="C246" s="46">
        <v>44347.522349537037</v>
      </c>
      <c r="D246" t="s">
        <v>148</v>
      </c>
      <c r="E246">
        <v>12.3</v>
      </c>
      <c r="F246" t="str">
        <f>VLOOKUP(A246*1,Table2[],5,TRUE)</f>
        <v>20:30:00</v>
      </c>
      <c r="G246" s="46" t="e">
        <f t="shared" si="6"/>
        <v>#VALUE!</v>
      </c>
      <c r="H246" t="e">
        <f t="shared" si="7"/>
        <v>#VALUE!</v>
      </c>
    </row>
    <row r="247" spans="1:8" x14ac:dyDescent="0.25">
      <c r="A247" t="s">
        <v>24</v>
      </c>
      <c r="B247" s="101" t="s">
        <v>217</v>
      </c>
      <c r="C247" s="46">
        <v>44347.522604166668</v>
      </c>
      <c r="D247" t="s">
        <v>147</v>
      </c>
      <c r="E247">
        <v>5</v>
      </c>
      <c r="F247" t="str">
        <f>VLOOKUP(A247*1,Table2[],5,TRUE)</f>
        <v>20:30:00</v>
      </c>
      <c r="G247" s="46" t="e">
        <f t="shared" si="6"/>
        <v>#VALUE!</v>
      </c>
      <c r="H247" t="e">
        <f t="shared" si="7"/>
        <v>#VALUE!</v>
      </c>
    </row>
    <row r="248" spans="1:8" x14ac:dyDescent="0.25">
      <c r="A248" t="s">
        <v>24</v>
      </c>
      <c r="B248" s="101" t="s">
        <v>208</v>
      </c>
      <c r="C248" s="46">
        <v>44347.5231712963</v>
      </c>
      <c r="D248" t="s">
        <v>148</v>
      </c>
      <c r="E248">
        <v>55.55</v>
      </c>
      <c r="F248" t="str">
        <f>VLOOKUP(A248*1,Table2[],5,TRUE)</f>
        <v>20:30:00</v>
      </c>
      <c r="G248" s="46" t="e">
        <f t="shared" si="6"/>
        <v>#VALUE!</v>
      </c>
      <c r="H248" t="e">
        <f t="shared" si="7"/>
        <v>#VALUE!</v>
      </c>
    </row>
    <row r="249" spans="1:8" x14ac:dyDescent="0.25">
      <c r="A249" t="s">
        <v>24</v>
      </c>
      <c r="B249" s="101" t="s">
        <v>217</v>
      </c>
      <c r="C249" s="46">
        <v>44347.523287037038</v>
      </c>
      <c r="D249" t="s">
        <v>146</v>
      </c>
      <c r="E249">
        <v>11.1</v>
      </c>
      <c r="F249" t="str">
        <f>VLOOKUP(A249*1,Table2[],5,TRUE)</f>
        <v>20:30:00</v>
      </c>
      <c r="G249" s="46" t="e">
        <f t="shared" si="6"/>
        <v>#VALUE!</v>
      </c>
      <c r="H249" t="e">
        <f t="shared" si="7"/>
        <v>#VALUE!</v>
      </c>
    </row>
    <row r="250" spans="1:8" x14ac:dyDescent="0.25">
      <c r="A250" t="s">
        <v>24</v>
      </c>
      <c r="B250" s="101" t="s">
        <v>217</v>
      </c>
      <c r="C250" s="46">
        <v>44347.523634259262</v>
      </c>
      <c r="D250" t="s">
        <v>147</v>
      </c>
      <c r="E250">
        <v>27.99</v>
      </c>
      <c r="F250" t="str">
        <f>VLOOKUP(A250*1,Table2[],5,TRUE)</f>
        <v>20:30:00</v>
      </c>
      <c r="G250" s="46" t="e">
        <f t="shared" si="6"/>
        <v>#VALUE!</v>
      </c>
      <c r="H250" t="e">
        <f t="shared" si="7"/>
        <v>#VALUE!</v>
      </c>
    </row>
    <row r="251" spans="1:8" x14ac:dyDescent="0.25">
      <c r="A251" t="s">
        <v>24</v>
      </c>
      <c r="B251" s="101" t="s">
        <v>208</v>
      </c>
      <c r="C251" s="46">
        <v>44347.524004629631</v>
      </c>
      <c r="D251" t="s">
        <v>148</v>
      </c>
      <c r="E251">
        <v>41.14</v>
      </c>
      <c r="F251" t="str">
        <f>VLOOKUP(A251*1,Table2[],5,TRUE)</f>
        <v>20:30:00</v>
      </c>
      <c r="G251" s="46" t="e">
        <f t="shared" si="6"/>
        <v>#VALUE!</v>
      </c>
      <c r="H251" t="e">
        <f t="shared" si="7"/>
        <v>#VALUE!</v>
      </c>
    </row>
    <row r="252" spans="1:8" x14ac:dyDescent="0.25">
      <c r="A252" t="s">
        <v>24</v>
      </c>
      <c r="B252" s="101" t="s">
        <v>217</v>
      </c>
      <c r="C252" s="46">
        <v>44347.524050925924</v>
      </c>
      <c r="D252" t="s">
        <v>147</v>
      </c>
      <c r="E252">
        <v>24.99</v>
      </c>
      <c r="F252" t="str">
        <f>VLOOKUP(A252*1,Table2[],5,TRUE)</f>
        <v>20:30:00</v>
      </c>
      <c r="G252" s="46" t="e">
        <f t="shared" si="6"/>
        <v>#VALUE!</v>
      </c>
      <c r="H252" t="e">
        <f t="shared" si="7"/>
        <v>#VALUE!</v>
      </c>
    </row>
    <row r="253" spans="1:8" x14ac:dyDescent="0.25">
      <c r="A253" t="s">
        <v>24</v>
      </c>
      <c r="B253" s="101" t="s">
        <v>208</v>
      </c>
      <c r="C253" s="46">
        <v>44347.52443287037</v>
      </c>
      <c r="D253" t="s">
        <v>147</v>
      </c>
      <c r="E253">
        <v>5</v>
      </c>
      <c r="F253" t="str">
        <f>VLOOKUP(A253*1,Table2[],5,TRUE)</f>
        <v>20:30:00</v>
      </c>
      <c r="G253" s="46" t="e">
        <f t="shared" si="6"/>
        <v>#VALUE!</v>
      </c>
      <c r="H253" t="e">
        <f t="shared" si="7"/>
        <v>#VALUE!</v>
      </c>
    </row>
    <row r="254" spans="1:8" x14ac:dyDescent="0.25">
      <c r="A254" t="s">
        <v>24</v>
      </c>
      <c r="B254" s="101" t="s">
        <v>217</v>
      </c>
      <c r="C254" s="46">
        <v>44347.524456018517</v>
      </c>
      <c r="D254" t="s">
        <v>147</v>
      </c>
      <c r="E254">
        <v>15.05</v>
      </c>
      <c r="F254" t="str">
        <f>VLOOKUP(A254*1,Table2[],5,TRUE)</f>
        <v>20:30:00</v>
      </c>
      <c r="G254" s="46" t="e">
        <f t="shared" si="6"/>
        <v>#VALUE!</v>
      </c>
      <c r="H254" t="e">
        <f t="shared" si="7"/>
        <v>#VALUE!</v>
      </c>
    </row>
    <row r="255" spans="1:8" x14ac:dyDescent="0.25">
      <c r="A255" t="s">
        <v>24</v>
      </c>
      <c r="B255" s="101" t="s">
        <v>208</v>
      </c>
      <c r="C255" s="46">
        <v>44347.524745370371</v>
      </c>
      <c r="D255" t="s">
        <v>146</v>
      </c>
      <c r="E255">
        <v>24.99</v>
      </c>
      <c r="F255" t="str">
        <f>VLOOKUP(A255*1,Table2[],5,TRUE)</f>
        <v>20:30:00</v>
      </c>
      <c r="G255" s="46" t="e">
        <f t="shared" si="6"/>
        <v>#VALUE!</v>
      </c>
      <c r="H255" t="e">
        <f t="shared" si="7"/>
        <v>#VALUE!</v>
      </c>
    </row>
    <row r="256" spans="1:8" x14ac:dyDescent="0.25">
      <c r="A256" t="s">
        <v>24</v>
      </c>
      <c r="B256" s="101" t="s">
        <v>217</v>
      </c>
      <c r="C256" s="46">
        <v>44347.525150462963</v>
      </c>
      <c r="D256" t="s">
        <v>147</v>
      </c>
      <c r="E256">
        <v>29.99</v>
      </c>
      <c r="F256" t="str">
        <f>VLOOKUP(A256*1,Table2[],5,TRUE)</f>
        <v>20:30:00</v>
      </c>
      <c r="G256" s="46" t="e">
        <f t="shared" si="6"/>
        <v>#VALUE!</v>
      </c>
      <c r="H256" t="e">
        <f t="shared" si="7"/>
        <v>#VALUE!</v>
      </c>
    </row>
    <row r="257" spans="1:8" x14ac:dyDescent="0.25">
      <c r="A257" t="s">
        <v>24</v>
      </c>
      <c r="B257" s="101" t="s">
        <v>208</v>
      </c>
      <c r="C257" s="46">
        <v>44347.525543981479</v>
      </c>
      <c r="D257" t="s">
        <v>146</v>
      </c>
      <c r="E257">
        <v>10.95</v>
      </c>
      <c r="F257" t="str">
        <f>VLOOKUP(A257*1,Table2[],5,TRUE)</f>
        <v>20:30:00</v>
      </c>
      <c r="G257" s="46" t="e">
        <f t="shared" si="6"/>
        <v>#VALUE!</v>
      </c>
      <c r="H257" t="e">
        <f t="shared" si="7"/>
        <v>#VALUE!</v>
      </c>
    </row>
    <row r="258" spans="1:8" x14ac:dyDescent="0.25">
      <c r="A258" t="s">
        <v>24</v>
      </c>
      <c r="B258" s="101" t="s">
        <v>217</v>
      </c>
      <c r="C258" s="46">
        <v>44347.525659722225</v>
      </c>
      <c r="D258" t="s">
        <v>146</v>
      </c>
      <c r="E258">
        <v>2.6</v>
      </c>
      <c r="F258" t="str">
        <f>VLOOKUP(A258*1,Table2[],5,TRUE)</f>
        <v>20:30:00</v>
      </c>
      <c r="G258" s="46" t="e">
        <f t="shared" ref="G258:G321" si="8">DATEVALUE(TEXT($L$2-1,"DD/MM/YYYY"))+TIMEVALUE(TEXT(F258,"HH:MM:SS"))</f>
        <v>#VALUE!</v>
      </c>
      <c r="H258" t="e">
        <f t="shared" ref="H258:H321" si="9">IF(C258&lt;G258,"Before Bank Cut Off",IF(C258&gt;=DATEVALUE($L$2),"After Midnight","In Between"))</f>
        <v>#VALUE!</v>
      </c>
    </row>
    <row r="259" spans="1:8" x14ac:dyDescent="0.25">
      <c r="A259" t="s">
        <v>24</v>
      </c>
      <c r="B259" s="101" t="s">
        <v>208</v>
      </c>
      <c r="C259" s="46">
        <v>44347.525868055556</v>
      </c>
      <c r="D259" t="s">
        <v>148</v>
      </c>
      <c r="E259">
        <v>34.99</v>
      </c>
      <c r="F259" t="str">
        <f>VLOOKUP(A259*1,Table2[],5,TRUE)</f>
        <v>20:30:00</v>
      </c>
      <c r="G259" s="46" t="e">
        <f t="shared" si="8"/>
        <v>#VALUE!</v>
      </c>
      <c r="H259" t="e">
        <f t="shared" si="9"/>
        <v>#VALUE!</v>
      </c>
    </row>
    <row r="260" spans="1:8" x14ac:dyDescent="0.25">
      <c r="A260" t="s">
        <v>24</v>
      </c>
      <c r="B260" s="101" t="s">
        <v>208</v>
      </c>
      <c r="C260" s="46">
        <v>44347.526504629626</v>
      </c>
      <c r="D260" t="s">
        <v>147</v>
      </c>
      <c r="E260">
        <v>8</v>
      </c>
      <c r="F260" t="str">
        <f>VLOOKUP(A260*1,Table2[],5,TRUE)</f>
        <v>20:30:00</v>
      </c>
      <c r="G260" s="46" t="e">
        <f t="shared" si="8"/>
        <v>#VALUE!</v>
      </c>
      <c r="H260" t="e">
        <f t="shared" si="9"/>
        <v>#VALUE!</v>
      </c>
    </row>
    <row r="261" spans="1:8" x14ac:dyDescent="0.25">
      <c r="A261" t="s">
        <v>24</v>
      </c>
      <c r="B261" s="101" t="s">
        <v>217</v>
      </c>
      <c r="C261" s="46">
        <v>44347.526712962965</v>
      </c>
      <c r="D261" t="s">
        <v>148</v>
      </c>
      <c r="E261">
        <v>48.24</v>
      </c>
      <c r="F261" t="str">
        <f>VLOOKUP(A261*1,Table2[],5,TRUE)</f>
        <v>20:30:00</v>
      </c>
      <c r="G261" s="46" t="e">
        <f t="shared" si="8"/>
        <v>#VALUE!</v>
      </c>
      <c r="H261" t="e">
        <f t="shared" si="9"/>
        <v>#VALUE!</v>
      </c>
    </row>
    <row r="262" spans="1:8" x14ac:dyDescent="0.25">
      <c r="A262" t="s">
        <v>24</v>
      </c>
      <c r="B262" s="101" t="s">
        <v>208</v>
      </c>
      <c r="C262" s="46">
        <v>44347.526956018519</v>
      </c>
      <c r="D262" t="s">
        <v>148</v>
      </c>
      <c r="E262">
        <v>149</v>
      </c>
      <c r="F262" t="str">
        <f>VLOOKUP(A262*1,Table2[],5,TRUE)</f>
        <v>20:30:00</v>
      </c>
      <c r="G262" s="46" t="e">
        <f t="shared" si="8"/>
        <v>#VALUE!</v>
      </c>
      <c r="H262" t="e">
        <f t="shared" si="9"/>
        <v>#VALUE!</v>
      </c>
    </row>
    <row r="263" spans="1:8" x14ac:dyDescent="0.25">
      <c r="A263" t="s">
        <v>24</v>
      </c>
      <c r="B263" s="101" t="s">
        <v>217</v>
      </c>
      <c r="C263" s="46">
        <v>44347.527280092596</v>
      </c>
      <c r="D263" t="s">
        <v>148</v>
      </c>
      <c r="E263">
        <v>15</v>
      </c>
      <c r="F263" t="str">
        <f>VLOOKUP(A263*1,Table2[],5,TRUE)</f>
        <v>20:30:00</v>
      </c>
      <c r="G263" s="46" t="e">
        <f t="shared" si="8"/>
        <v>#VALUE!</v>
      </c>
      <c r="H263" t="e">
        <f t="shared" si="9"/>
        <v>#VALUE!</v>
      </c>
    </row>
    <row r="264" spans="1:8" x14ac:dyDescent="0.25">
      <c r="A264" t="s">
        <v>24</v>
      </c>
      <c r="B264" s="101" t="s">
        <v>208</v>
      </c>
      <c r="C264" s="46">
        <v>44347.527627314812</v>
      </c>
      <c r="D264" t="s">
        <v>146</v>
      </c>
      <c r="E264">
        <v>30.99</v>
      </c>
      <c r="F264" t="str">
        <f>VLOOKUP(A264*1,Table2[],5,TRUE)</f>
        <v>20:30:00</v>
      </c>
      <c r="G264" s="46" t="e">
        <f t="shared" si="8"/>
        <v>#VALUE!</v>
      </c>
      <c r="H264" t="e">
        <f t="shared" si="9"/>
        <v>#VALUE!</v>
      </c>
    </row>
    <row r="265" spans="1:8" x14ac:dyDescent="0.25">
      <c r="A265" t="s">
        <v>24</v>
      </c>
      <c r="B265" s="101" t="s">
        <v>208</v>
      </c>
      <c r="C265" s="46">
        <v>44347.528900462959</v>
      </c>
      <c r="D265" t="s">
        <v>147</v>
      </c>
      <c r="E265">
        <v>9.99</v>
      </c>
      <c r="F265" t="str">
        <f>VLOOKUP(A265*1,Table2[],5,TRUE)</f>
        <v>20:30:00</v>
      </c>
      <c r="G265" s="46" t="e">
        <f t="shared" si="8"/>
        <v>#VALUE!</v>
      </c>
      <c r="H265" t="e">
        <f t="shared" si="9"/>
        <v>#VALUE!</v>
      </c>
    </row>
    <row r="266" spans="1:8" x14ac:dyDescent="0.25">
      <c r="A266" t="s">
        <v>24</v>
      </c>
      <c r="B266" s="101" t="s">
        <v>208</v>
      </c>
      <c r="C266" s="46">
        <v>44347.529490740744</v>
      </c>
      <c r="D266" t="s">
        <v>146</v>
      </c>
      <c r="E266">
        <v>53.9</v>
      </c>
      <c r="F266" t="str">
        <f>VLOOKUP(A266*1,Table2[],5,TRUE)</f>
        <v>20:30:00</v>
      </c>
      <c r="G266" s="46" t="e">
        <f t="shared" si="8"/>
        <v>#VALUE!</v>
      </c>
      <c r="H266" t="e">
        <f t="shared" si="9"/>
        <v>#VALUE!</v>
      </c>
    </row>
    <row r="267" spans="1:8" x14ac:dyDescent="0.25">
      <c r="A267" t="s">
        <v>24</v>
      </c>
      <c r="B267" s="101" t="s">
        <v>217</v>
      </c>
      <c r="C267" s="46">
        <v>44347.529861111114</v>
      </c>
      <c r="D267" t="s">
        <v>147</v>
      </c>
      <c r="E267">
        <v>5</v>
      </c>
      <c r="F267" t="str">
        <f>VLOOKUP(A267*1,Table2[],5,TRUE)</f>
        <v>20:30:00</v>
      </c>
      <c r="G267" s="46" t="e">
        <f t="shared" si="8"/>
        <v>#VALUE!</v>
      </c>
      <c r="H267" t="e">
        <f t="shared" si="9"/>
        <v>#VALUE!</v>
      </c>
    </row>
    <row r="268" spans="1:8" x14ac:dyDescent="0.25">
      <c r="A268" t="s">
        <v>24</v>
      </c>
      <c r="B268" s="101" t="s">
        <v>208</v>
      </c>
      <c r="C268" s="46">
        <v>44347.530127314814</v>
      </c>
      <c r="D268" t="s">
        <v>146</v>
      </c>
      <c r="E268">
        <v>39.950000000000003</v>
      </c>
      <c r="F268" t="str">
        <f>VLOOKUP(A268*1,Table2[],5,TRUE)</f>
        <v>20:30:00</v>
      </c>
      <c r="G268" s="46" t="e">
        <f t="shared" si="8"/>
        <v>#VALUE!</v>
      </c>
      <c r="H268" t="e">
        <f t="shared" si="9"/>
        <v>#VALUE!</v>
      </c>
    </row>
    <row r="269" spans="1:8" x14ac:dyDescent="0.25">
      <c r="A269" t="s">
        <v>24</v>
      </c>
      <c r="B269" s="101" t="s">
        <v>208</v>
      </c>
      <c r="C269" s="46">
        <v>44347.532557870371</v>
      </c>
      <c r="D269" t="s">
        <v>147</v>
      </c>
      <c r="E269">
        <v>9.6</v>
      </c>
      <c r="F269" t="str">
        <f>VLOOKUP(A269*1,Table2[],5,TRUE)</f>
        <v>20:30:00</v>
      </c>
      <c r="G269" s="46" t="e">
        <f t="shared" si="8"/>
        <v>#VALUE!</v>
      </c>
      <c r="H269" t="e">
        <f t="shared" si="9"/>
        <v>#VALUE!</v>
      </c>
    </row>
    <row r="270" spans="1:8" x14ac:dyDescent="0.25">
      <c r="A270" t="s">
        <v>24</v>
      </c>
      <c r="B270" s="101" t="s">
        <v>208</v>
      </c>
      <c r="C270" s="46">
        <v>44347.532824074071</v>
      </c>
      <c r="D270" t="s">
        <v>146</v>
      </c>
      <c r="E270">
        <v>5.5</v>
      </c>
      <c r="F270" t="str">
        <f>VLOOKUP(A270*1,Table2[],5,TRUE)</f>
        <v>20:30:00</v>
      </c>
      <c r="G270" s="46" t="e">
        <f t="shared" si="8"/>
        <v>#VALUE!</v>
      </c>
      <c r="H270" t="e">
        <f t="shared" si="9"/>
        <v>#VALUE!</v>
      </c>
    </row>
    <row r="271" spans="1:8" x14ac:dyDescent="0.25">
      <c r="A271" t="s">
        <v>24</v>
      </c>
      <c r="B271" s="101" t="s">
        <v>208</v>
      </c>
      <c r="C271" s="46">
        <v>44347.533182870371</v>
      </c>
      <c r="D271" t="s">
        <v>147</v>
      </c>
      <c r="E271">
        <v>44.12</v>
      </c>
      <c r="F271" t="str">
        <f>VLOOKUP(A271*1,Table2[],5,TRUE)</f>
        <v>20:30:00</v>
      </c>
      <c r="G271" s="46" t="e">
        <f t="shared" si="8"/>
        <v>#VALUE!</v>
      </c>
      <c r="H271" t="e">
        <f t="shared" si="9"/>
        <v>#VALUE!</v>
      </c>
    </row>
    <row r="272" spans="1:8" x14ac:dyDescent="0.25">
      <c r="A272" t="s">
        <v>24</v>
      </c>
      <c r="B272" s="101" t="s">
        <v>208</v>
      </c>
      <c r="C272" s="46">
        <v>44347.533599537041</v>
      </c>
      <c r="D272" t="s">
        <v>147</v>
      </c>
      <c r="E272">
        <v>8</v>
      </c>
      <c r="F272" t="str">
        <f>VLOOKUP(A272*1,Table2[],5,TRUE)</f>
        <v>20:30:00</v>
      </c>
      <c r="G272" s="46" t="e">
        <f t="shared" si="8"/>
        <v>#VALUE!</v>
      </c>
      <c r="H272" t="e">
        <f t="shared" si="9"/>
        <v>#VALUE!</v>
      </c>
    </row>
    <row r="273" spans="1:8" x14ac:dyDescent="0.25">
      <c r="A273" t="s">
        <v>24</v>
      </c>
      <c r="B273" s="101" t="s">
        <v>208</v>
      </c>
      <c r="C273" s="46">
        <v>44347.533854166664</v>
      </c>
      <c r="D273" t="s">
        <v>146</v>
      </c>
      <c r="E273">
        <v>6.2</v>
      </c>
      <c r="F273" t="str">
        <f>VLOOKUP(A273*1,Table2[],5,TRUE)</f>
        <v>20:30:00</v>
      </c>
      <c r="G273" s="46" t="e">
        <f t="shared" si="8"/>
        <v>#VALUE!</v>
      </c>
      <c r="H273" t="e">
        <f t="shared" si="9"/>
        <v>#VALUE!</v>
      </c>
    </row>
    <row r="274" spans="1:8" x14ac:dyDescent="0.25">
      <c r="A274" t="s">
        <v>24</v>
      </c>
      <c r="B274" s="101" t="s">
        <v>208</v>
      </c>
      <c r="C274" s="46">
        <v>44347.534097222226</v>
      </c>
      <c r="D274" t="s">
        <v>146</v>
      </c>
      <c r="E274">
        <v>11.2</v>
      </c>
      <c r="F274" t="str">
        <f>VLOOKUP(A274*1,Table2[],5,TRUE)</f>
        <v>20:30:00</v>
      </c>
      <c r="G274" s="46" t="e">
        <f t="shared" si="8"/>
        <v>#VALUE!</v>
      </c>
      <c r="H274" t="e">
        <f t="shared" si="9"/>
        <v>#VALUE!</v>
      </c>
    </row>
    <row r="275" spans="1:8" x14ac:dyDescent="0.25">
      <c r="A275" t="s">
        <v>24</v>
      </c>
      <c r="B275" s="101" t="s">
        <v>217</v>
      </c>
      <c r="C275" s="46">
        <v>44347.535752314812</v>
      </c>
      <c r="D275" t="s">
        <v>147</v>
      </c>
      <c r="E275">
        <v>3</v>
      </c>
      <c r="F275" t="str">
        <f>VLOOKUP(A275*1,Table2[],5,TRUE)</f>
        <v>20:30:00</v>
      </c>
      <c r="G275" s="46" t="e">
        <f t="shared" si="8"/>
        <v>#VALUE!</v>
      </c>
      <c r="H275" t="e">
        <f t="shared" si="9"/>
        <v>#VALUE!</v>
      </c>
    </row>
    <row r="276" spans="1:8" x14ac:dyDescent="0.25">
      <c r="A276" t="s">
        <v>24</v>
      </c>
      <c r="B276" s="101" t="s">
        <v>208</v>
      </c>
      <c r="C276" s="46">
        <v>44347.536157407405</v>
      </c>
      <c r="D276" t="s">
        <v>146</v>
      </c>
      <c r="E276">
        <v>137.04</v>
      </c>
      <c r="F276" t="str">
        <f>VLOOKUP(A276*1,Table2[],5,TRUE)</f>
        <v>20:30:00</v>
      </c>
      <c r="G276" s="46" t="e">
        <f t="shared" si="8"/>
        <v>#VALUE!</v>
      </c>
      <c r="H276" t="e">
        <f t="shared" si="9"/>
        <v>#VALUE!</v>
      </c>
    </row>
    <row r="277" spans="1:8" x14ac:dyDescent="0.25">
      <c r="A277" t="s">
        <v>24</v>
      </c>
      <c r="B277" s="101" t="s">
        <v>217</v>
      </c>
      <c r="C277" s="46">
        <v>44347.536296296297</v>
      </c>
      <c r="D277" t="s">
        <v>146</v>
      </c>
      <c r="E277">
        <v>26.19</v>
      </c>
      <c r="F277" t="str">
        <f>VLOOKUP(A277*1,Table2[],5,TRUE)</f>
        <v>20:30:00</v>
      </c>
      <c r="G277" s="46" t="e">
        <f t="shared" si="8"/>
        <v>#VALUE!</v>
      </c>
      <c r="H277" t="e">
        <f t="shared" si="9"/>
        <v>#VALUE!</v>
      </c>
    </row>
    <row r="278" spans="1:8" x14ac:dyDescent="0.25">
      <c r="A278" t="s">
        <v>24</v>
      </c>
      <c r="B278" s="101" t="s">
        <v>208</v>
      </c>
      <c r="C278" s="46">
        <v>44347.536493055559</v>
      </c>
      <c r="D278" t="s">
        <v>146</v>
      </c>
      <c r="E278">
        <v>11.49</v>
      </c>
      <c r="F278" t="str">
        <f>VLOOKUP(A278*1,Table2[],5,TRUE)</f>
        <v>20:30:00</v>
      </c>
      <c r="G278" s="46" t="e">
        <f t="shared" si="8"/>
        <v>#VALUE!</v>
      </c>
      <c r="H278" t="e">
        <f t="shared" si="9"/>
        <v>#VALUE!</v>
      </c>
    </row>
    <row r="279" spans="1:8" x14ac:dyDescent="0.25">
      <c r="A279" t="s">
        <v>24</v>
      </c>
      <c r="B279" s="101" t="s">
        <v>217</v>
      </c>
      <c r="C279" s="46">
        <v>44347.53665509259</v>
      </c>
      <c r="D279" t="s">
        <v>147</v>
      </c>
      <c r="E279">
        <v>8</v>
      </c>
      <c r="F279" t="str">
        <f>VLOOKUP(A279*1,Table2[],5,TRUE)</f>
        <v>20:30:00</v>
      </c>
      <c r="G279" s="46" t="e">
        <f t="shared" si="8"/>
        <v>#VALUE!</v>
      </c>
      <c r="H279" t="e">
        <f t="shared" si="9"/>
        <v>#VALUE!</v>
      </c>
    </row>
    <row r="280" spans="1:8" x14ac:dyDescent="0.25">
      <c r="A280" t="s">
        <v>24</v>
      </c>
      <c r="B280" s="101" t="s">
        <v>208</v>
      </c>
      <c r="C280" s="46">
        <v>44347.536898148152</v>
      </c>
      <c r="D280" t="s">
        <v>147</v>
      </c>
      <c r="E280">
        <v>13.19</v>
      </c>
      <c r="F280" t="str">
        <f>VLOOKUP(A280*1,Table2[],5,TRUE)</f>
        <v>20:30:00</v>
      </c>
      <c r="G280" s="46" t="e">
        <f t="shared" si="8"/>
        <v>#VALUE!</v>
      </c>
      <c r="H280" t="e">
        <f t="shared" si="9"/>
        <v>#VALUE!</v>
      </c>
    </row>
    <row r="281" spans="1:8" x14ac:dyDescent="0.25">
      <c r="A281" t="s">
        <v>24</v>
      </c>
      <c r="B281" s="101" t="s">
        <v>208</v>
      </c>
      <c r="C281" s="46">
        <v>44347.538252314815</v>
      </c>
      <c r="D281" t="s">
        <v>147</v>
      </c>
      <c r="E281">
        <v>31.98</v>
      </c>
      <c r="F281" t="str">
        <f>VLOOKUP(A281*1,Table2[],5,TRUE)</f>
        <v>20:30:00</v>
      </c>
      <c r="G281" s="46" t="e">
        <f t="shared" si="8"/>
        <v>#VALUE!</v>
      </c>
      <c r="H281" t="e">
        <f t="shared" si="9"/>
        <v>#VALUE!</v>
      </c>
    </row>
    <row r="282" spans="1:8" x14ac:dyDescent="0.25">
      <c r="A282" t="s">
        <v>24</v>
      </c>
      <c r="B282" s="101" t="s">
        <v>208</v>
      </c>
      <c r="C282" s="46">
        <v>44347.539606481485</v>
      </c>
      <c r="D282" t="s">
        <v>147</v>
      </c>
      <c r="E282">
        <v>19.29</v>
      </c>
      <c r="F282" t="str">
        <f>VLOOKUP(A282*1,Table2[],5,TRUE)</f>
        <v>20:30:00</v>
      </c>
      <c r="G282" s="46" t="e">
        <f t="shared" si="8"/>
        <v>#VALUE!</v>
      </c>
      <c r="H282" t="e">
        <f t="shared" si="9"/>
        <v>#VALUE!</v>
      </c>
    </row>
    <row r="283" spans="1:8" x14ac:dyDescent="0.25">
      <c r="A283" t="s">
        <v>24</v>
      </c>
      <c r="B283" s="101" t="s">
        <v>208</v>
      </c>
      <c r="C283" s="46">
        <v>44347.540127314816</v>
      </c>
      <c r="D283" t="s">
        <v>147</v>
      </c>
      <c r="E283">
        <v>20.97</v>
      </c>
      <c r="F283" t="str">
        <f>VLOOKUP(A283*1,Table2[],5,TRUE)</f>
        <v>20:30:00</v>
      </c>
      <c r="G283" s="46" t="e">
        <f t="shared" si="8"/>
        <v>#VALUE!</v>
      </c>
      <c r="H283" t="e">
        <f t="shared" si="9"/>
        <v>#VALUE!</v>
      </c>
    </row>
    <row r="284" spans="1:8" x14ac:dyDescent="0.25">
      <c r="A284" t="s">
        <v>24</v>
      </c>
      <c r="B284" s="101" t="s">
        <v>208</v>
      </c>
      <c r="C284" s="46">
        <v>44347.54179398148</v>
      </c>
      <c r="D284" t="s">
        <v>147</v>
      </c>
      <c r="E284">
        <v>6.1</v>
      </c>
      <c r="F284" t="str">
        <f>VLOOKUP(A284*1,Table2[],5,TRUE)</f>
        <v>20:30:00</v>
      </c>
      <c r="G284" s="46" t="e">
        <f t="shared" si="8"/>
        <v>#VALUE!</v>
      </c>
      <c r="H284" t="e">
        <f t="shared" si="9"/>
        <v>#VALUE!</v>
      </c>
    </row>
    <row r="285" spans="1:8" x14ac:dyDescent="0.25">
      <c r="A285" t="s">
        <v>24</v>
      </c>
      <c r="B285" s="101" t="s">
        <v>217</v>
      </c>
      <c r="C285" s="46">
        <v>44347.541990740741</v>
      </c>
      <c r="D285" t="s">
        <v>147</v>
      </c>
      <c r="E285">
        <v>14.99</v>
      </c>
      <c r="F285" t="str">
        <f>VLOOKUP(A285*1,Table2[],5,TRUE)</f>
        <v>20:30:00</v>
      </c>
      <c r="G285" s="46" t="e">
        <f t="shared" si="8"/>
        <v>#VALUE!</v>
      </c>
      <c r="H285" t="e">
        <f t="shared" si="9"/>
        <v>#VALUE!</v>
      </c>
    </row>
    <row r="286" spans="1:8" x14ac:dyDescent="0.25">
      <c r="A286" t="s">
        <v>24</v>
      </c>
      <c r="B286" s="101" t="s">
        <v>208</v>
      </c>
      <c r="C286" s="46">
        <v>44347.542187500003</v>
      </c>
      <c r="D286" t="s">
        <v>147</v>
      </c>
      <c r="E286">
        <v>5.2</v>
      </c>
      <c r="F286" t="str">
        <f>VLOOKUP(A286*1,Table2[],5,TRUE)</f>
        <v>20:30:00</v>
      </c>
      <c r="G286" s="46" t="e">
        <f t="shared" si="8"/>
        <v>#VALUE!</v>
      </c>
      <c r="H286" t="e">
        <f t="shared" si="9"/>
        <v>#VALUE!</v>
      </c>
    </row>
    <row r="287" spans="1:8" x14ac:dyDescent="0.25">
      <c r="A287" t="s">
        <v>24</v>
      </c>
      <c r="B287" s="101" t="s">
        <v>217</v>
      </c>
      <c r="C287" s="46">
        <v>44347.542349537034</v>
      </c>
      <c r="D287" t="s">
        <v>148</v>
      </c>
      <c r="E287">
        <v>51.94</v>
      </c>
      <c r="F287" t="str">
        <f>VLOOKUP(A287*1,Table2[],5,TRUE)</f>
        <v>20:30:00</v>
      </c>
      <c r="G287" s="46" t="e">
        <f t="shared" si="8"/>
        <v>#VALUE!</v>
      </c>
      <c r="H287" t="e">
        <f t="shared" si="9"/>
        <v>#VALUE!</v>
      </c>
    </row>
    <row r="288" spans="1:8" x14ac:dyDescent="0.25">
      <c r="A288" t="s">
        <v>24</v>
      </c>
      <c r="B288" s="101" t="s">
        <v>217</v>
      </c>
      <c r="C288" s="46">
        <v>44347.542592592596</v>
      </c>
      <c r="D288" t="s">
        <v>147</v>
      </c>
      <c r="E288">
        <v>8.98</v>
      </c>
      <c r="F288" t="str">
        <f>VLOOKUP(A288*1,Table2[],5,TRUE)</f>
        <v>20:30:00</v>
      </c>
      <c r="G288" s="46" t="e">
        <f t="shared" si="8"/>
        <v>#VALUE!</v>
      </c>
      <c r="H288" t="e">
        <f t="shared" si="9"/>
        <v>#VALUE!</v>
      </c>
    </row>
    <row r="289" spans="1:8" x14ac:dyDescent="0.25">
      <c r="A289" t="s">
        <v>24</v>
      </c>
      <c r="B289" s="101" t="s">
        <v>208</v>
      </c>
      <c r="C289" s="46">
        <v>44347.542650462965</v>
      </c>
      <c r="D289" t="s">
        <v>148</v>
      </c>
      <c r="E289">
        <v>22.45</v>
      </c>
      <c r="F289" t="str">
        <f>VLOOKUP(A289*1,Table2[],5,TRUE)</f>
        <v>20:30:00</v>
      </c>
      <c r="G289" s="46" t="e">
        <f t="shared" si="8"/>
        <v>#VALUE!</v>
      </c>
      <c r="H289" t="e">
        <f t="shared" si="9"/>
        <v>#VALUE!</v>
      </c>
    </row>
    <row r="290" spans="1:8" x14ac:dyDescent="0.25">
      <c r="A290" t="s">
        <v>24</v>
      </c>
      <c r="B290" s="101" t="s">
        <v>217</v>
      </c>
      <c r="C290" s="46">
        <v>44347.543217592596</v>
      </c>
      <c r="D290" t="s">
        <v>146</v>
      </c>
      <c r="E290">
        <v>62.84</v>
      </c>
      <c r="F290" t="str">
        <f>VLOOKUP(A290*1,Table2[],5,TRUE)</f>
        <v>20:30:00</v>
      </c>
      <c r="G290" s="46" t="e">
        <f t="shared" si="8"/>
        <v>#VALUE!</v>
      </c>
      <c r="H290" t="e">
        <f t="shared" si="9"/>
        <v>#VALUE!</v>
      </c>
    </row>
    <row r="291" spans="1:8" x14ac:dyDescent="0.25">
      <c r="A291" t="s">
        <v>24</v>
      </c>
      <c r="B291" s="101" t="s">
        <v>208</v>
      </c>
      <c r="C291" s="46">
        <v>44347.544363425928</v>
      </c>
      <c r="D291" t="s">
        <v>148</v>
      </c>
      <c r="E291">
        <v>106.65</v>
      </c>
      <c r="F291" t="str">
        <f>VLOOKUP(A291*1,Table2[],5,TRUE)</f>
        <v>20:30:00</v>
      </c>
      <c r="G291" s="46" t="e">
        <f t="shared" si="8"/>
        <v>#VALUE!</v>
      </c>
      <c r="H291" t="e">
        <f t="shared" si="9"/>
        <v>#VALUE!</v>
      </c>
    </row>
    <row r="292" spans="1:8" x14ac:dyDescent="0.25">
      <c r="A292" t="s">
        <v>24</v>
      </c>
      <c r="B292" s="101" t="s">
        <v>208</v>
      </c>
      <c r="C292" s="46">
        <v>44347.544652777775</v>
      </c>
      <c r="D292" t="s">
        <v>146</v>
      </c>
      <c r="E292">
        <v>8.99</v>
      </c>
      <c r="F292" t="str">
        <f>VLOOKUP(A292*1,Table2[],5,TRUE)</f>
        <v>20:30:00</v>
      </c>
      <c r="G292" s="46" t="e">
        <f t="shared" si="8"/>
        <v>#VALUE!</v>
      </c>
      <c r="H292" t="e">
        <f t="shared" si="9"/>
        <v>#VALUE!</v>
      </c>
    </row>
    <row r="293" spans="1:8" x14ac:dyDescent="0.25">
      <c r="A293" t="s">
        <v>24</v>
      </c>
      <c r="B293" s="101" t="s">
        <v>208</v>
      </c>
      <c r="C293" s="46">
        <v>44347.544907407406</v>
      </c>
      <c r="D293" t="s">
        <v>146</v>
      </c>
      <c r="E293">
        <v>8.1999999999999993</v>
      </c>
      <c r="F293" t="str">
        <f>VLOOKUP(A293*1,Table2[],5,TRUE)</f>
        <v>20:30:00</v>
      </c>
      <c r="G293" s="46" t="e">
        <f t="shared" si="8"/>
        <v>#VALUE!</v>
      </c>
      <c r="H293" t="e">
        <f t="shared" si="9"/>
        <v>#VALUE!</v>
      </c>
    </row>
    <row r="294" spans="1:8" x14ac:dyDescent="0.25">
      <c r="A294" t="s">
        <v>24</v>
      </c>
      <c r="B294" s="101" t="s">
        <v>208</v>
      </c>
      <c r="C294" s="46">
        <v>44347.545162037037</v>
      </c>
      <c r="D294" t="s">
        <v>147</v>
      </c>
      <c r="E294">
        <v>9.98</v>
      </c>
      <c r="F294" t="str">
        <f>VLOOKUP(A294*1,Table2[],5,TRUE)</f>
        <v>20:30:00</v>
      </c>
      <c r="G294" s="46" t="e">
        <f t="shared" si="8"/>
        <v>#VALUE!</v>
      </c>
      <c r="H294" t="e">
        <f t="shared" si="9"/>
        <v>#VALUE!</v>
      </c>
    </row>
    <row r="295" spans="1:8" x14ac:dyDescent="0.25">
      <c r="A295" t="s">
        <v>24</v>
      </c>
      <c r="B295" s="101" t="s">
        <v>208</v>
      </c>
      <c r="C295" s="46">
        <v>44347.545393518521</v>
      </c>
      <c r="D295" t="s">
        <v>146</v>
      </c>
      <c r="E295">
        <v>10</v>
      </c>
      <c r="F295" t="str">
        <f>VLOOKUP(A295*1,Table2[],5,TRUE)</f>
        <v>20:30:00</v>
      </c>
      <c r="G295" s="46" t="e">
        <f t="shared" si="8"/>
        <v>#VALUE!</v>
      </c>
      <c r="H295" t="e">
        <f t="shared" si="9"/>
        <v>#VALUE!</v>
      </c>
    </row>
    <row r="296" spans="1:8" x14ac:dyDescent="0.25">
      <c r="A296" t="s">
        <v>24</v>
      </c>
      <c r="B296" s="101" t="s">
        <v>217</v>
      </c>
      <c r="C296" s="46">
        <v>44347.545636574076</v>
      </c>
      <c r="D296" t="s">
        <v>146</v>
      </c>
      <c r="E296">
        <v>25.9</v>
      </c>
      <c r="F296" t="str">
        <f>VLOOKUP(A296*1,Table2[],5,TRUE)</f>
        <v>20:30:00</v>
      </c>
      <c r="G296" s="46" t="e">
        <f t="shared" si="8"/>
        <v>#VALUE!</v>
      </c>
      <c r="H296" t="e">
        <f t="shared" si="9"/>
        <v>#VALUE!</v>
      </c>
    </row>
    <row r="297" spans="1:8" x14ac:dyDescent="0.25">
      <c r="A297" t="s">
        <v>24</v>
      </c>
      <c r="B297" s="101" t="s">
        <v>208</v>
      </c>
      <c r="C297" s="46">
        <v>44347.546481481484</v>
      </c>
      <c r="D297" t="s">
        <v>146</v>
      </c>
      <c r="E297">
        <v>60.13</v>
      </c>
      <c r="F297" t="str">
        <f>VLOOKUP(A297*1,Table2[],5,TRUE)</f>
        <v>20:30:00</v>
      </c>
      <c r="G297" s="46" t="e">
        <f t="shared" si="8"/>
        <v>#VALUE!</v>
      </c>
      <c r="H297" t="e">
        <f t="shared" si="9"/>
        <v>#VALUE!</v>
      </c>
    </row>
    <row r="298" spans="1:8" x14ac:dyDescent="0.25">
      <c r="A298" t="s">
        <v>24</v>
      </c>
      <c r="B298" s="101" t="s">
        <v>208</v>
      </c>
      <c r="C298" s="46">
        <v>44347.546840277777</v>
      </c>
      <c r="D298" t="s">
        <v>147</v>
      </c>
      <c r="E298">
        <v>9.5</v>
      </c>
      <c r="F298" t="str">
        <f>VLOOKUP(A298*1,Table2[],5,TRUE)</f>
        <v>20:30:00</v>
      </c>
      <c r="G298" s="46" t="e">
        <f t="shared" si="8"/>
        <v>#VALUE!</v>
      </c>
      <c r="H298" t="e">
        <f t="shared" si="9"/>
        <v>#VALUE!</v>
      </c>
    </row>
    <row r="299" spans="1:8" x14ac:dyDescent="0.25">
      <c r="A299" t="s">
        <v>24</v>
      </c>
      <c r="B299" s="101" t="s">
        <v>208</v>
      </c>
      <c r="C299" s="46">
        <v>44347.547256944446</v>
      </c>
      <c r="D299" t="s">
        <v>147</v>
      </c>
      <c r="E299">
        <v>16.95</v>
      </c>
      <c r="F299" t="str">
        <f>VLOOKUP(A299*1,Table2[],5,TRUE)</f>
        <v>20:30:00</v>
      </c>
      <c r="G299" s="46" t="e">
        <f t="shared" si="8"/>
        <v>#VALUE!</v>
      </c>
      <c r="H299" t="e">
        <f t="shared" si="9"/>
        <v>#VALUE!</v>
      </c>
    </row>
    <row r="300" spans="1:8" x14ac:dyDescent="0.25">
      <c r="A300" t="s">
        <v>24</v>
      </c>
      <c r="B300" s="101" t="s">
        <v>208</v>
      </c>
      <c r="C300" s="46">
        <v>44347.548113425924</v>
      </c>
      <c r="D300" t="s">
        <v>146</v>
      </c>
      <c r="E300">
        <v>6.1</v>
      </c>
      <c r="F300" t="str">
        <f>VLOOKUP(A300*1,Table2[],5,TRUE)</f>
        <v>20:30:00</v>
      </c>
      <c r="G300" s="46" t="e">
        <f t="shared" si="8"/>
        <v>#VALUE!</v>
      </c>
      <c r="H300" t="e">
        <f t="shared" si="9"/>
        <v>#VALUE!</v>
      </c>
    </row>
    <row r="301" spans="1:8" x14ac:dyDescent="0.25">
      <c r="A301" t="s">
        <v>24</v>
      </c>
      <c r="B301" s="101" t="s">
        <v>217</v>
      </c>
      <c r="C301" s="46">
        <v>44347.548171296294</v>
      </c>
      <c r="D301" t="s">
        <v>148</v>
      </c>
      <c r="E301">
        <v>54.94</v>
      </c>
      <c r="F301" t="str">
        <f>VLOOKUP(A301*1,Table2[],5,TRUE)</f>
        <v>20:30:00</v>
      </c>
      <c r="G301" s="46" t="e">
        <f t="shared" si="8"/>
        <v>#VALUE!</v>
      </c>
      <c r="H301" t="e">
        <f t="shared" si="9"/>
        <v>#VALUE!</v>
      </c>
    </row>
    <row r="302" spans="1:8" x14ac:dyDescent="0.25">
      <c r="A302" t="s">
        <v>24</v>
      </c>
      <c r="B302" s="101" t="s">
        <v>217</v>
      </c>
      <c r="C302" s="46">
        <v>44347.549074074072</v>
      </c>
      <c r="D302" t="s">
        <v>146</v>
      </c>
      <c r="E302">
        <v>7.6</v>
      </c>
      <c r="F302" t="str">
        <f>VLOOKUP(A302*1,Table2[],5,TRUE)</f>
        <v>20:30:00</v>
      </c>
      <c r="G302" s="46" t="e">
        <f t="shared" si="8"/>
        <v>#VALUE!</v>
      </c>
      <c r="H302" t="e">
        <f t="shared" si="9"/>
        <v>#VALUE!</v>
      </c>
    </row>
    <row r="303" spans="1:8" x14ac:dyDescent="0.25">
      <c r="A303" t="s">
        <v>24</v>
      </c>
      <c r="B303" s="101" t="s">
        <v>208</v>
      </c>
      <c r="C303" s="46">
        <v>44347.549074074072</v>
      </c>
      <c r="D303" t="s">
        <v>147</v>
      </c>
      <c r="E303">
        <v>7.6</v>
      </c>
      <c r="F303" t="str">
        <f>VLOOKUP(A303*1,Table2[],5,TRUE)</f>
        <v>20:30:00</v>
      </c>
      <c r="G303" s="46" t="e">
        <f t="shared" si="8"/>
        <v>#VALUE!</v>
      </c>
      <c r="H303" t="e">
        <f t="shared" si="9"/>
        <v>#VALUE!</v>
      </c>
    </row>
    <row r="304" spans="1:8" x14ac:dyDescent="0.25">
      <c r="A304" t="s">
        <v>24</v>
      </c>
      <c r="B304" s="101" t="s">
        <v>208</v>
      </c>
      <c r="C304" s="46">
        <v>44347.549398148149</v>
      </c>
      <c r="D304" t="s">
        <v>147</v>
      </c>
      <c r="E304">
        <v>2.7</v>
      </c>
      <c r="F304" t="str">
        <f>VLOOKUP(A304*1,Table2[],5,TRUE)</f>
        <v>20:30:00</v>
      </c>
      <c r="G304" s="46" t="e">
        <f t="shared" si="8"/>
        <v>#VALUE!</v>
      </c>
      <c r="H304" t="e">
        <f t="shared" si="9"/>
        <v>#VALUE!</v>
      </c>
    </row>
    <row r="305" spans="1:8" x14ac:dyDescent="0.25">
      <c r="A305" t="s">
        <v>24</v>
      </c>
      <c r="B305" s="101" t="s">
        <v>208</v>
      </c>
      <c r="C305" s="46">
        <v>44347.550370370373</v>
      </c>
      <c r="D305" t="s">
        <v>147</v>
      </c>
      <c r="E305">
        <v>5.7</v>
      </c>
      <c r="F305" t="str">
        <f>VLOOKUP(A305*1,Table2[],5,TRUE)</f>
        <v>20:30:00</v>
      </c>
      <c r="G305" s="46" t="e">
        <f t="shared" si="8"/>
        <v>#VALUE!</v>
      </c>
      <c r="H305" t="e">
        <f t="shared" si="9"/>
        <v>#VALUE!</v>
      </c>
    </row>
    <row r="306" spans="1:8" x14ac:dyDescent="0.25">
      <c r="A306" t="s">
        <v>24</v>
      </c>
      <c r="B306" s="101" t="s">
        <v>208</v>
      </c>
      <c r="C306" s="46">
        <v>44347.551805555559</v>
      </c>
      <c r="D306" t="s">
        <v>146</v>
      </c>
      <c r="E306">
        <v>2.2000000000000002</v>
      </c>
      <c r="F306" t="str">
        <f>VLOOKUP(A306*1,Table2[],5,TRUE)</f>
        <v>20:30:00</v>
      </c>
      <c r="G306" s="46" t="e">
        <f t="shared" si="8"/>
        <v>#VALUE!</v>
      </c>
      <c r="H306" t="e">
        <f t="shared" si="9"/>
        <v>#VALUE!</v>
      </c>
    </row>
    <row r="307" spans="1:8" x14ac:dyDescent="0.25">
      <c r="A307" t="s">
        <v>24</v>
      </c>
      <c r="B307" s="101" t="s">
        <v>208</v>
      </c>
      <c r="C307" s="46">
        <v>44347.552187499998</v>
      </c>
      <c r="D307" t="s">
        <v>147</v>
      </c>
      <c r="E307">
        <v>4.8</v>
      </c>
      <c r="F307" t="str">
        <f>VLOOKUP(A307*1,Table2[],5,TRUE)</f>
        <v>20:30:00</v>
      </c>
      <c r="G307" s="46" t="e">
        <f t="shared" si="8"/>
        <v>#VALUE!</v>
      </c>
      <c r="H307" t="e">
        <f t="shared" si="9"/>
        <v>#VALUE!</v>
      </c>
    </row>
    <row r="308" spans="1:8" x14ac:dyDescent="0.25">
      <c r="A308" t="s">
        <v>24</v>
      </c>
      <c r="B308" s="101" t="s">
        <v>208</v>
      </c>
      <c r="C308" s="46">
        <v>44347.552395833336</v>
      </c>
      <c r="D308" t="s">
        <v>146</v>
      </c>
      <c r="E308">
        <v>6.1</v>
      </c>
      <c r="F308" t="str">
        <f>VLOOKUP(A308*1,Table2[],5,TRUE)</f>
        <v>20:30:00</v>
      </c>
      <c r="G308" s="46" t="e">
        <f t="shared" si="8"/>
        <v>#VALUE!</v>
      </c>
      <c r="H308" t="e">
        <f t="shared" si="9"/>
        <v>#VALUE!</v>
      </c>
    </row>
    <row r="309" spans="1:8" x14ac:dyDescent="0.25">
      <c r="A309" t="s">
        <v>24</v>
      </c>
      <c r="B309" s="101" t="s">
        <v>208</v>
      </c>
      <c r="C309" s="46">
        <v>44347.552719907406</v>
      </c>
      <c r="D309" t="s">
        <v>147</v>
      </c>
      <c r="E309">
        <v>15.15</v>
      </c>
      <c r="F309" t="str">
        <f>VLOOKUP(A309*1,Table2[],5,TRUE)</f>
        <v>20:30:00</v>
      </c>
      <c r="G309" s="46" t="e">
        <f t="shared" si="8"/>
        <v>#VALUE!</v>
      </c>
      <c r="H309" t="e">
        <f t="shared" si="9"/>
        <v>#VALUE!</v>
      </c>
    </row>
    <row r="310" spans="1:8" x14ac:dyDescent="0.25">
      <c r="A310" t="s">
        <v>24</v>
      </c>
      <c r="B310" s="101" t="s">
        <v>208</v>
      </c>
      <c r="C310" s="46">
        <v>44347.553599537037</v>
      </c>
      <c r="D310" t="s">
        <v>148</v>
      </c>
      <c r="E310">
        <v>38.97</v>
      </c>
      <c r="F310" t="str">
        <f>VLOOKUP(A310*1,Table2[],5,TRUE)</f>
        <v>20:30:00</v>
      </c>
      <c r="G310" s="46" t="e">
        <f t="shared" si="8"/>
        <v>#VALUE!</v>
      </c>
      <c r="H310" t="e">
        <f t="shared" si="9"/>
        <v>#VALUE!</v>
      </c>
    </row>
    <row r="311" spans="1:8" x14ac:dyDescent="0.25">
      <c r="A311" t="s">
        <v>24</v>
      </c>
      <c r="B311" s="101" t="s">
        <v>208</v>
      </c>
      <c r="C311" s="46">
        <v>44347.554606481484</v>
      </c>
      <c r="D311" t="s">
        <v>146</v>
      </c>
      <c r="E311">
        <v>7.8</v>
      </c>
      <c r="F311" t="str">
        <f>VLOOKUP(A311*1,Table2[],5,TRUE)</f>
        <v>20:30:00</v>
      </c>
      <c r="G311" s="46" t="e">
        <f t="shared" si="8"/>
        <v>#VALUE!</v>
      </c>
      <c r="H311" t="e">
        <f t="shared" si="9"/>
        <v>#VALUE!</v>
      </c>
    </row>
    <row r="312" spans="1:8" x14ac:dyDescent="0.25">
      <c r="A312" t="s">
        <v>24</v>
      </c>
      <c r="B312" s="101" t="s">
        <v>217</v>
      </c>
      <c r="C312" s="46">
        <v>44347.554826388892</v>
      </c>
      <c r="D312" t="s">
        <v>147</v>
      </c>
      <c r="E312">
        <v>8.1999999999999993</v>
      </c>
      <c r="F312" t="str">
        <f>VLOOKUP(A312*1,Table2[],5,TRUE)</f>
        <v>20:30:00</v>
      </c>
      <c r="G312" s="46" t="e">
        <f t="shared" si="8"/>
        <v>#VALUE!</v>
      </c>
      <c r="H312" t="e">
        <f t="shared" si="9"/>
        <v>#VALUE!</v>
      </c>
    </row>
    <row r="313" spans="1:8" x14ac:dyDescent="0.25">
      <c r="A313" t="s">
        <v>24</v>
      </c>
      <c r="B313" s="101" t="s">
        <v>217</v>
      </c>
      <c r="C313" s="46">
        <v>44347.556377314817</v>
      </c>
      <c r="D313" t="s">
        <v>147</v>
      </c>
      <c r="E313">
        <v>19.989999999999998</v>
      </c>
      <c r="F313" t="str">
        <f>VLOOKUP(A313*1,Table2[],5,TRUE)</f>
        <v>20:30:00</v>
      </c>
      <c r="G313" s="46" t="e">
        <f t="shared" si="8"/>
        <v>#VALUE!</v>
      </c>
      <c r="H313" t="e">
        <f t="shared" si="9"/>
        <v>#VALUE!</v>
      </c>
    </row>
    <row r="314" spans="1:8" x14ac:dyDescent="0.25">
      <c r="A314" t="s">
        <v>24</v>
      </c>
      <c r="B314" s="101" t="s">
        <v>208</v>
      </c>
      <c r="C314" s="46">
        <v>44347.556712962964</v>
      </c>
      <c r="D314" t="s">
        <v>147</v>
      </c>
      <c r="E314">
        <v>9.99</v>
      </c>
      <c r="F314" t="str">
        <f>VLOOKUP(A314*1,Table2[],5,TRUE)</f>
        <v>20:30:00</v>
      </c>
      <c r="G314" s="46" t="e">
        <f t="shared" si="8"/>
        <v>#VALUE!</v>
      </c>
      <c r="H314" t="e">
        <f t="shared" si="9"/>
        <v>#VALUE!</v>
      </c>
    </row>
    <row r="315" spans="1:8" x14ac:dyDescent="0.25">
      <c r="A315" t="s">
        <v>24</v>
      </c>
      <c r="B315" s="101" t="s">
        <v>208</v>
      </c>
      <c r="C315" s="46">
        <v>44347.557349537034</v>
      </c>
      <c r="D315" t="s">
        <v>146</v>
      </c>
      <c r="E315">
        <v>6</v>
      </c>
      <c r="F315" t="str">
        <f>VLOOKUP(A315*1,Table2[],5,TRUE)</f>
        <v>20:30:00</v>
      </c>
      <c r="G315" s="46" t="e">
        <f t="shared" si="8"/>
        <v>#VALUE!</v>
      </c>
      <c r="H315" t="e">
        <f t="shared" si="9"/>
        <v>#VALUE!</v>
      </c>
    </row>
    <row r="316" spans="1:8" x14ac:dyDescent="0.25">
      <c r="A316" t="s">
        <v>24</v>
      </c>
      <c r="B316" s="101" t="s">
        <v>208</v>
      </c>
      <c r="C316" s="46">
        <v>44347.557534722226</v>
      </c>
      <c r="D316" t="s">
        <v>147</v>
      </c>
      <c r="E316">
        <v>11</v>
      </c>
      <c r="F316" t="str">
        <f>VLOOKUP(A316*1,Table2[],5,TRUE)</f>
        <v>20:30:00</v>
      </c>
      <c r="G316" s="46" t="e">
        <f t="shared" si="8"/>
        <v>#VALUE!</v>
      </c>
      <c r="H316" t="e">
        <f t="shared" si="9"/>
        <v>#VALUE!</v>
      </c>
    </row>
    <row r="317" spans="1:8" x14ac:dyDescent="0.25">
      <c r="A317" t="s">
        <v>24</v>
      </c>
      <c r="B317" s="101" t="s">
        <v>208</v>
      </c>
      <c r="C317" s="46">
        <v>44347.558078703703</v>
      </c>
      <c r="D317" t="s">
        <v>146</v>
      </c>
      <c r="E317">
        <v>6.75</v>
      </c>
      <c r="F317" t="str">
        <f>VLOOKUP(A317*1,Table2[],5,TRUE)</f>
        <v>20:30:00</v>
      </c>
      <c r="G317" s="46" t="e">
        <f t="shared" si="8"/>
        <v>#VALUE!</v>
      </c>
      <c r="H317" t="e">
        <f t="shared" si="9"/>
        <v>#VALUE!</v>
      </c>
    </row>
    <row r="318" spans="1:8" x14ac:dyDescent="0.25">
      <c r="A318" t="s">
        <v>24</v>
      </c>
      <c r="B318" s="101" t="s">
        <v>208</v>
      </c>
      <c r="C318" s="46">
        <v>44347.558344907404</v>
      </c>
      <c r="D318" t="s">
        <v>147</v>
      </c>
      <c r="E318">
        <v>5</v>
      </c>
      <c r="F318" t="str">
        <f>VLOOKUP(A318*1,Table2[],5,TRUE)</f>
        <v>20:30:00</v>
      </c>
      <c r="G318" s="46" t="e">
        <f t="shared" si="8"/>
        <v>#VALUE!</v>
      </c>
      <c r="H318" t="e">
        <f t="shared" si="9"/>
        <v>#VALUE!</v>
      </c>
    </row>
    <row r="319" spans="1:8" x14ac:dyDescent="0.25">
      <c r="A319" t="s">
        <v>24</v>
      </c>
      <c r="B319" s="101" t="s">
        <v>208</v>
      </c>
      <c r="C319" s="46">
        <v>44347.558749999997</v>
      </c>
      <c r="D319" t="s">
        <v>147</v>
      </c>
      <c r="E319">
        <v>5.2</v>
      </c>
      <c r="F319" t="str">
        <f>VLOOKUP(A319*1,Table2[],5,TRUE)</f>
        <v>20:30:00</v>
      </c>
      <c r="G319" s="46" t="e">
        <f t="shared" si="8"/>
        <v>#VALUE!</v>
      </c>
      <c r="H319" t="e">
        <f t="shared" si="9"/>
        <v>#VALUE!</v>
      </c>
    </row>
    <row r="320" spans="1:8" x14ac:dyDescent="0.25">
      <c r="A320" t="s">
        <v>24</v>
      </c>
      <c r="B320" s="101" t="s">
        <v>208</v>
      </c>
      <c r="C320" s="46">
        <v>44347.559178240743</v>
      </c>
      <c r="D320" t="s">
        <v>147</v>
      </c>
      <c r="E320">
        <v>5.5</v>
      </c>
      <c r="F320" t="str">
        <f>VLOOKUP(A320*1,Table2[],5,TRUE)</f>
        <v>20:30:00</v>
      </c>
      <c r="G320" s="46" t="e">
        <f t="shared" si="8"/>
        <v>#VALUE!</v>
      </c>
      <c r="H320" t="e">
        <f t="shared" si="9"/>
        <v>#VALUE!</v>
      </c>
    </row>
    <row r="321" spans="1:8" x14ac:dyDescent="0.25">
      <c r="A321" t="s">
        <v>24</v>
      </c>
      <c r="B321" s="101" t="s">
        <v>208</v>
      </c>
      <c r="C321" s="46">
        <v>44347.560162037036</v>
      </c>
      <c r="D321" t="s">
        <v>147</v>
      </c>
      <c r="E321">
        <v>2.2000000000000002</v>
      </c>
      <c r="F321" t="str">
        <f>VLOOKUP(A321*1,Table2[],5,TRUE)</f>
        <v>20:30:00</v>
      </c>
      <c r="G321" s="46" t="e">
        <f t="shared" si="8"/>
        <v>#VALUE!</v>
      </c>
      <c r="H321" t="e">
        <f t="shared" si="9"/>
        <v>#VALUE!</v>
      </c>
    </row>
    <row r="322" spans="1:8" x14ac:dyDescent="0.25">
      <c r="A322" t="s">
        <v>24</v>
      </c>
      <c r="B322" s="101" t="s">
        <v>208</v>
      </c>
      <c r="C322" s="46">
        <v>44347.560428240744</v>
      </c>
      <c r="D322" t="s">
        <v>146</v>
      </c>
      <c r="E322">
        <v>4.5999999999999996</v>
      </c>
      <c r="F322" t="str">
        <f>VLOOKUP(A322*1,Table2[],5,TRUE)</f>
        <v>20:30:00</v>
      </c>
      <c r="G322" s="46" t="e">
        <f t="shared" ref="G322:G385" si="10">DATEVALUE(TEXT($L$2-1,"DD/MM/YYYY"))+TIMEVALUE(TEXT(F322,"HH:MM:SS"))</f>
        <v>#VALUE!</v>
      </c>
      <c r="H322" t="e">
        <f t="shared" ref="H322:H385" si="11">IF(C322&lt;G322,"Before Bank Cut Off",IF(C322&gt;=DATEVALUE($L$2),"After Midnight","In Between"))</f>
        <v>#VALUE!</v>
      </c>
    </row>
    <row r="323" spans="1:8" x14ac:dyDescent="0.25">
      <c r="A323" t="s">
        <v>24</v>
      </c>
      <c r="B323" s="101" t="s">
        <v>208</v>
      </c>
      <c r="C323" s="46">
        <v>44347.560891203706</v>
      </c>
      <c r="D323" t="s">
        <v>146</v>
      </c>
      <c r="E323">
        <v>12</v>
      </c>
      <c r="F323" t="str">
        <f>VLOOKUP(A323*1,Table2[],5,TRUE)</f>
        <v>20:30:00</v>
      </c>
      <c r="G323" s="46" t="e">
        <f t="shared" si="10"/>
        <v>#VALUE!</v>
      </c>
      <c r="H323" t="e">
        <f t="shared" si="11"/>
        <v>#VALUE!</v>
      </c>
    </row>
    <row r="324" spans="1:8" x14ac:dyDescent="0.25">
      <c r="A324" t="s">
        <v>24</v>
      </c>
      <c r="B324" s="101" t="s">
        <v>217</v>
      </c>
      <c r="C324" s="46">
        <v>44347.560960648145</v>
      </c>
      <c r="D324" t="s">
        <v>148</v>
      </c>
      <c r="E324">
        <v>62.19</v>
      </c>
      <c r="F324" t="str">
        <f>VLOOKUP(A324*1,Table2[],5,TRUE)</f>
        <v>20:30:00</v>
      </c>
      <c r="G324" s="46" t="e">
        <f t="shared" si="10"/>
        <v>#VALUE!</v>
      </c>
      <c r="H324" t="e">
        <f t="shared" si="11"/>
        <v>#VALUE!</v>
      </c>
    </row>
    <row r="325" spans="1:8" x14ac:dyDescent="0.25">
      <c r="A325" t="s">
        <v>24</v>
      </c>
      <c r="B325" s="101" t="s">
        <v>208</v>
      </c>
      <c r="C325" s="46">
        <v>44347.56113425926</v>
      </c>
      <c r="D325" t="s">
        <v>146</v>
      </c>
      <c r="E325">
        <v>16.989999999999998</v>
      </c>
      <c r="F325" t="str">
        <f>VLOOKUP(A325*1,Table2[],5,TRUE)</f>
        <v>20:30:00</v>
      </c>
      <c r="G325" s="46" t="e">
        <f t="shared" si="10"/>
        <v>#VALUE!</v>
      </c>
      <c r="H325" t="e">
        <f t="shared" si="11"/>
        <v>#VALUE!</v>
      </c>
    </row>
    <row r="326" spans="1:8" x14ac:dyDescent="0.25">
      <c r="A326" t="s">
        <v>24</v>
      </c>
      <c r="B326" s="101" t="s">
        <v>208</v>
      </c>
      <c r="C326" s="46">
        <v>44347.561481481483</v>
      </c>
      <c r="D326" t="s">
        <v>146</v>
      </c>
      <c r="E326">
        <v>10</v>
      </c>
      <c r="F326" t="str">
        <f>VLOOKUP(A326*1,Table2[],5,TRUE)</f>
        <v>20:30:00</v>
      </c>
      <c r="G326" s="46" t="e">
        <f t="shared" si="10"/>
        <v>#VALUE!</v>
      </c>
      <c r="H326" t="e">
        <f t="shared" si="11"/>
        <v>#VALUE!</v>
      </c>
    </row>
    <row r="327" spans="1:8" x14ac:dyDescent="0.25">
      <c r="A327" t="s">
        <v>24</v>
      </c>
      <c r="B327" s="101" t="s">
        <v>217</v>
      </c>
      <c r="C327" s="46">
        <v>44347.561608796299</v>
      </c>
      <c r="D327" t="s">
        <v>146</v>
      </c>
      <c r="E327">
        <v>6.1</v>
      </c>
      <c r="F327" t="str">
        <f>VLOOKUP(A327*1,Table2[],5,TRUE)</f>
        <v>20:30:00</v>
      </c>
      <c r="G327" s="46" t="e">
        <f t="shared" si="10"/>
        <v>#VALUE!</v>
      </c>
      <c r="H327" t="e">
        <f t="shared" si="11"/>
        <v>#VALUE!</v>
      </c>
    </row>
    <row r="328" spans="1:8" x14ac:dyDescent="0.25">
      <c r="A328" t="s">
        <v>24</v>
      </c>
      <c r="B328" s="101" t="s">
        <v>208</v>
      </c>
      <c r="C328" s="46">
        <v>44347.561828703707</v>
      </c>
      <c r="D328" t="s">
        <v>146</v>
      </c>
      <c r="E328">
        <v>14.09</v>
      </c>
      <c r="F328" t="str">
        <f>VLOOKUP(A328*1,Table2[],5,TRUE)</f>
        <v>20:30:00</v>
      </c>
      <c r="G328" s="46" t="e">
        <f t="shared" si="10"/>
        <v>#VALUE!</v>
      </c>
      <c r="H328" t="e">
        <f t="shared" si="11"/>
        <v>#VALUE!</v>
      </c>
    </row>
    <row r="329" spans="1:8" x14ac:dyDescent="0.25">
      <c r="A329" t="s">
        <v>24</v>
      </c>
      <c r="B329" s="101" t="s">
        <v>217</v>
      </c>
      <c r="C329" s="46">
        <v>44347.562731481485</v>
      </c>
      <c r="D329" t="s">
        <v>146</v>
      </c>
      <c r="E329">
        <v>14.09</v>
      </c>
      <c r="F329" t="str">
        <f>VLOOKUP(A329*1,Table2[],5,TRUE)</f>
        <v>20:30:00</v>
      </c>
      <c r="G329" s="46" t="e">
        <f t="shared" si="10"/>
        <v>#VALUE!</v>
      </c>
      <c r="H329" t="e">
        <f t="shared" si="11"/>
        <v>#VALUE!</v>
      </c>
    </row>
    <row r="330" spans="1:8" x14ac:dyDescent="0.25">
      <c r="A330" t="s">
        <v>24</v>
      </c>
      <c r="B330" s="101" t="s">
        <v>208</v>
      </c>
      <c r="C330" s="46">
        <v>44347.562835648147</v>
      </c>
      <c r="D330" t="s">
        <v>146</v>
      </c>
      <c r="E330">
        <v>2.6</v>
      </c>
      <c r="F330" t="str">
        <f>VLOOKUP(A330*1,Table2[],5,TRUE)</f>
        <v>20:30:00</v>
      </c>
      <c r="G330" s="46" t="e">
        <f t="shared" si="10"/>
        <v>#VALUE!</v>
      </c>
      <c r="H330" t="e">
        <f t="shared" si="11"/>
        <v>#VALUE!</v>
      </c>
    </row>
    <row r="331" spans="1:8" x14ac:dyDescent="0.25">
      <c r="A331" t="s">
        <v>24</v>
      </c>
      <c r="B331" s="101" t="s">
        <v>217</v>
      </c>
      <c r="C331" s="46">
        <v>44347.563090277778</v>
      </c>
      <c r="D331" t="s">
        <v>147</v>
      </c>
      <c r="E331">
        <v>35.950000000000003</v>
      </c>
      <c r="F331" t="str">
        <f>VLOOKUP(A331*1,Table2[],5,TRUE)</f>
        <v>20:30:00</v>
      </c>
      <c r="G331" s="46" t="e">
        <f t="shared" si="10"/>
        <v>#VALUE!</v>
      </c>
      <c r="H331" t="e">
        <f t="shared" si="11"/>
        <v>#VALUE!</v>
      </c>
    </row>
    <row r="332" spans="1:8" x14ac:dyDescent="0.25">
      <c r="A332" t="s">
        <v>24</v>
      </c>
      <c r="B332" s="101" t="s">
        <v>208</v>
      </c>
      <c r="C332" s="46">
        <v>44347.563136574077</v>
      </c>
      <c r="D332" t="s">
        <v>146</v>
      </c>
      <c r="E332">
        <v>19.989999999999998</v>
      </c>
      <c r="F332" t="str">
        <f>VLOOKUP(A332*1,Table2[],5,TRUE)</f>
        <v>20:30:00</v>
      </c>
      <c r="G332" s="46" t="e">
        <f t="shared" si="10"/>
        <v>#VALUE!</v>
      </c>
      <c r="H332" t="e">
        <f t="shared" si="11"/>
        <v>#VALUE!</v>
      </c>
    </row>
    <row r="333" spans="1:8" x14ac:dyDescent="0.25">
      <c r="A333" t="s">
        <v>24</v>
      </c>
      <c r="B333" s="101" t="s">
        <v>217</v>
      </c>
      <c r="C333" s="46">
        <v>44347.563807870371</v>
      </c>
      <c r="D333" t="s">
        <v>146</v>
      </c>
      <c r="E333">
        <v>46.26</v>
      </c>
      <c r="F333" t="str">
        <f>VLOOKUP(A333*1,Table2[],5,TRUE)</f>
        <v>20:30:00</v>
      </c>
      <c r="G333" s="46" t="e">
        <f t="shared" si="10"/>
        <v>#VALUE!</v>
      </c>
      <c r="H333" t="e">
        <f t="shared" si="11"/>
        <v>#VALUE!</v>
      </c>
    </row>
    <row r="334" spans="1:8" x14ac:dyDescent="0.25">
      <c r="A334" t="s">
        <v>24</v>
      </c>
      <c r="B334" s="101" t="s">
        <v>208</v>
      </c>
      <c r="C334" s="46">
        <v>44347.564525462964</v>
      </c>
      <c r="D334" t="s">
        <v>148</v>
      </c>
      <c r="E334">
        <v>32.99</v>
      </c>
      <c r="F334" t="str">
        <f>VLOOKUP(A334*1,Table2[],5,TRUE)</f>
        <v>20:30:00</v>
      </c>
      <c r="G334" s="46" t="e">
        <f t="shared" si="10"/>
        <v>#VALUE!</v>
      </c>
      <c r="H334" t="e">
        <f t="shared" si="11"/>
        <v>#VALUE!</v>
      </c>
    </row>
    <row r="335" spans="1:8" x14ac:dyDescent="0.25">
      <c r="A335" t="s">
        <v>24</v>
      </c>
      <c r="B335" s="101" t="s">
        <v>217</v>
      </c>
      <c r="C335" s="46">
        <v>44347.564976851849</v>
      </c>
      <c r="D335" t="s">
        <v>147</v>
      </c>
      <c r="E335">
        <v>24.71</v>
      </c>
      <c r="F335" t="str">
        <f>VLOOKUP(A335*1,Table2[],5,TRUE)</f>
        <v>20:30:00</v>
      </c>
      <c r="G335" s="46" t="e">
        <f t="shared" si="10"/>
        <v>#VALUE!</v>
      </c>
      <c r="H335" t="e">
        <f t="shared" si="11"/>
        <v>#VALUE!</v>
      </c>
    </row>
    <row r="336" spans="1:8" x14ac:dyDescent="0.25">
      <c r="A336" t="s">
        <v>24</v>
      </c>
      <c r="B336" s="101" t="s">
        <v>208</v>
      </c>
      <c r="C336" s="46">
        <v>44347.565393518518</v>
      </c>
      <c r="D336" t="s">
        <v>148</v>
      </c>
      <c r="E336">
        <v>73.61</v>
      </c>
      <c r="F336" t="str">
        <f>VLOOKUP(A336*1,Table2[],5,TRUE)</f>
        <v>20:30:00</v>
      </c>
      <c r="G336" s="46" t="e">
        <f t="shared" si="10"/>
        <v>#VALUE!</v>
      </c>
      <c r="H336" t="e">
        <f t="shared" si="11"/>
        <v>#VALUE!</v>
      </c>
    </row>
    <row r="337" spans="1:8" x14ac:dyDescent="0.25">
      <c r="A337" t="s">
        <v>24</v>
      </c>
      <c r="B337" s="101" t="s">
        <v>217</v>
      </c>
      <c r="C337" s="46">
        <v>44347.565636574072</v>
      </c>
      <c r="D337" t="s">
        <v>147</v>
      </c>
      <c r="E337">
        <v>84.12</v>
      </c>
      <c r="F337" t="str">
        <f>VLOOKUP(A337*1,Table2[],5,TRUE)</f>
        <v>20:30:00</v>
      </c>
      <c r="G337" s="46" t="e">
        <f t="shared" si="10"/>
        <v>#VALUE!</v>
      </c>
      <c r="H337" t="e">
        <f t="shared" si="11"/>
        <v>#VALUE!</v>
      </c>
    </row>
    <row r="338" spans="1:8" x14ac:dyDescent="0.25">
      <c r="A338" t="s">
        <v>24</v>
      </c>
      <c r="B338" s="101" t="s">
        <v>208</v>
      </c>
      <c r="C338" s="46">
        <v>44347.56590277778</v>
      </c>
      <c r="D338" t="s">
        <v>147</v>
      </c>
      <c r="E338">
        <v>24.17</v>
      </c>
      <c r="F338" t="str">
        <f>VLOOKUP(A338*1,Table2[],5,TRUE)</f>
        <v>20:30:00</v>
      </c>
      <c r="G338" s="46" t="e">
        <f t="shared" si="10"/>
        <v>#VALUE!</v>
      </c>
      <c r="H338" t="e">
        <f t="shared" si="11"/>
        <v>#VALUE!</v>
      </c>
    </row>
    <row r="339" spans="1:8" x14ac:dyDescent="0.25">
      <c r="A339" t="s">
        <v>24</v>
      </c>
      <c r="B339" s="101" t="s">
        <v>217</v>
      </c>
      <c r="C339" s="46">
        <v>44347.566203703704</v>
      </c>
      <c r="D339" t="s">
        <v>146</v>
      </c>
      <c r="E339">
        <v>3.4</v>
      </c>
      <c r="F339" t="str">
        <f>VLOOKUP(A339*1,Table2[],5,TRUE)</f>
        <v>20:30:00</v>
      </c>
      <c r="G339" s="46" t="e">
        <f t="shared" si="10"/>
        <v>#VALUE!</v>
      </c>
      <c r="H339" t="e">
        <f t="shared" si="11"/>
        <v>#VALUE!</v>
      </c>
    </row>
    <row r="340" spans="1:8" x14ac:dyDescent="0.25">
      <c r="A340" t="s">
        <v>24</v>
      </c>
      <c r="B340" s="101" t="s">
        <v>208</v>
      </c>
      <c r="C340" s="46">
        <v>44347.56658564815</v>
      </c>
      <c r="D340" t="s">
        <v>147</v>
      </c>
      <c r="E340">
        <v>11.79</v>
      </c>
      <c r="F340" t="str">
        <f>VLOOKUP(A340*1,Table2[],5,TRUE)</f>
        <v>20:30:00</v>
      </c>
      <c r="G340" s="46" t="e">
        <f t="shared" si="10"/>
        <v>#VALUE!</v>
      </c>
      <c r="H340" t="e">
        <f t="shared" si="11"/>
        <v>#VALUE!</v>
      </c>
    </row>
    <row r="341" spans="1:8" x14ac:dyDescent="0.25">
      <c r="A341" t="s">
        <v>24</v>
      </c>
      <c r="B341" s="101" t="s">
        <v>217</v>
      </c>
      <c r="C341" s="46">
        <v>44347.566643518519</v>
      </c>
      <c r="D341" t="s">
        <v>147</v>
      </c>
      <c r="E341">
        <v>2.2000000000000002</v>
      </c>
      <c r="F341" t="str">
        <f>VLOOKUP(A341*1,Table2[],5,TRUE)</f>
        <v>20:30:00</v>
      </c>
      <c r="G341" s="46" t="e">
        <f t="shared" si="10"/>
        <v>#VALUE!</v>
      </c>
      <c r="H341" t="e">
        <f t="shared" si="11"/>
        <v>#VALUE!</v>
      </c>
    </row>
    <row r="343" spans="1:8" x14ac:dyDescent="0.25">
      <c r="A343" t="s">
        <v>24</v>
      </c>
      <c r="B343" s="101" t="s">
        <v>208</v>
      </c>
      <c r="C343" s="46">
        <v>44347.567615740743</v>
      </c>
      <c r="D343" t="s">
        <v>148</v>
      </c>
      <c r="E343">
        <v>13.4</v>
      </c>
      <c r="F343" t="str">
        <f>VLOOKUP(A343*1,Table2[],5,TRUE)</f>
        <v>20:30:00</v>
      </c>
      <c r="G343" s="46" t="e">
        <f t="shared" si="10"/>
        <v>#VALUE!</v>
      </c>
      <c r="H343" t="e">
        <f t="shared" si="11"/>
        <v>#VALUE!</v>
      </c>
    </row>
    <row r="344" spans="1:8" x14ac:dyDescent="0.25">
      <c r="A344" t="s">
        <v>24</v>
      </c>
      <c r="B344" s="101" t="s">
        <v>208</v>
      </c>
      <c r="C344" s="46">
        <v>44347.567997685182</v>
      </c>
      <c r="D344" t="s">
        <v>147</v>
      </c>
      <c r="E344">
        <v>15.8</v>
      </c>
      <c r="F344" t="str">
        <f>VLOOKUP(A344*1,Table2[],5,TRUE)</f>
        <v>20:30:00</v>
      </c>
      <c r="G344" s="46" t="e">
        <f t="shared" si="10"/>
        <v>#VALUE!</v>
      </c>
      <c r="H344" t="e">
        <f t="shared" si="11"/>
        <v>#VALUE!</v>
      </c>
    </row>
    <row r="345" spans="1:8" x14ac:dyDescent="0.25">
      <c r="A345" t="s">
        <v>24</v>
      </c>
      <c r="B345" s="101" t="s">
        <v>208</v>
      </c>
      <c r="C345" s="46">
        <v>44347.568692129629</v>
      </c>
      <c r="D345" t="s">
        <v>147</v>
      </c>
      <c r="E345">
        <v>6.4</v>
      </c>
      <c r="F345" t="str">
        <f>VLOOKUP(A345*1,Table2[],5,TRUE)</f>
        <v>20:30:00</v>
      </c>
      <c r="G345" s="46" t="e">
        <f t="shared" si="10"/>
        <v>#VALUE!</v>
      </c>
      <c r="H345" t="e">
        <f t="shared" si="11"/>
        <v>#VALUE!</v>
      </c>
    </row>
    <row r="346" spans="1:8" x14ac:dyDescent="0.25">
      <c r="A346" t="s">
        <v>24</v>
      </c>
      <c r="B346" s="101" t="s">
        <v>208</v>
      </c>
      <c r="C346" s="46">
        <v>44347.568923611114</v>
      </c>
      <c r="D346" t="s">
        <v>147</v>
      </c>
      <c r="E346">
        <v>12.4</v>
      </c>
      <c r="F346" t="str">
        <f>VLOOKUP(A346*1,Table2[],5,TRUE)</f>
        <v>20:30:00</v>
      </c>
      <c r="G346" s="46" t="e">
        <f t="shared" si="10"/>
        <v>#VALUE!</v>
      </c>
      <c r="H346" t="e">
        <f t="shared" si="11"/>
        <v>#VALUE!</v>
      </c>
    </row>
    <row r="347" spans="1:8" x14ac:dyDescent="0.25">
      <c r="A347" t="s">
        <v>24</v>
      </c>
      <c r="B347" s="101" t="s">
        <v>217</v>
      </c>
      <c r="C347" s="46">
        <v>44347.569733796299</v>
      </c>
      <c r="D347" t="s">
        <v>148</v>
      </c>
      <c r="E347">
        <v>8.1999999999999993</v>
      </c>
      <c r="F347" t="str">
        <f>VLOOKUP(A347*1,Table2[],5,TRUE)</f>
        <v>20:30:00</v>
      </c>
      <c r="G347" s="46" t="e">
        <f t="shared" si="10"/>
        <v>#VALUE!</v>
      </c>
      <c r="H347" t="e">
        <f t="shared" si="11"/>
        <v>#VALUE!</v>
      </c>
    </row>
    <row r="349" spans="1:8" x14ac:dyDescent="0.25">
      <c r="A349" t="s">
        <v>24</v>
      </c>
      <c r="B349" s="101" t="s">
        <v>217</v>
      </c>
      <c r="C349" s="46">
        <v>44347.570196759261</v>
      </c>
      <c r="D349" t="s">
        <v>146</v>
      </c>
      <c r="E349">
        <v>13.19</v>
      </c>
      <c r="F349" t="str">
        <f>VLOOKUP(A349*1,Table2[],5,TRUE)</f>
        <v>20:30:00</v>
      </c>
      <c r="G349" s="46" t="e">
        <f t="shared" si="10"/>
        <v>#VALUE!</v>
      </c>
      <c r="H349" t="e">
        <f t="shared" si="11"/>
        <v>#VALUE!</v>
      </c>
    </row>
    <row r="350" spans="1:8" x14ac:dyDescent="0.25">
      <c r="A350" t="s">
        <v>24</v>
      </c>
      <c r="B350" s="101" t="s">
        <v>217</v>
      </c>
      <c r="C350" s="46">
        <v>44347.570532407408</v>
      </c>
      <c r="D350" t="s">
        <v>148</v>
      </c>
      <c r="E350">
        <v>35.130000000000003</v>
      </c>
      <c r="F350" t="str">
        <f>VLOOKUP(A350*1,Table2[],5,TRUE)</f>
        <v>20:30:00</v>
      </c>
      <c r="G350" s="46" t="e">
        <f t="shared" si="10"/>
        <v>#VALUE!</v>
      </c>
      <c r="H350" t="e">
        <f t="shared" si="11"/>
        <v>#VALUE!</v>
      </c>
    </row>
    <row r="351" spans="1:8" x14ac:dyDescent="0.25">
      <c r="A351" t="s">
        <v>24</v>
      </c>
      <c r="B351" s="101" t="s">
        <v>217</v>
      </c>
      <c r="C351" s="46">
        <v>44347.570833333331</v>
      </c>
      <c r="D351" t="s">
        <v>146</v>
      </c>
      <c r="E351">
        <v>5</v>
      </c>
      <c r="F351" t="str">
        <f>VLOOKUP(A351*1,Table2[],5,TRUE)</f>
        <v>20:30:00</v>
      </c>
      <c r="G351" s="46" t="e">
        <f t="shared" si="10"/>
        <v>#VALUE!</v>
      </c>
      <c r="H351" t="e">
        <f t="shared" si="11"/>
        <v>#VALUE!</v>
      </c>
    </row>
    <row r="352" spans="1:8" x14ac:dyDescent="0.25">
      <c r="A352" t="s">
        <v>24</v>
      </c>
      <c r="B352" s="101" t="s">
        <v>208</v>
      </c>
      <c r="C352" s="46">
        <v>44347.570983796293</v>
      </c>
      <c r="D352" t="s">
        <v>146</v>
      </c>
      <c r="E352">
        <v>5</v>
      </c>
      <c r="F352" t="str">
        <f>VLOOKUP(A352*1,Table2[],5,TRUE)</f>
        <v>20:30:00</v>
      </c>
      <c r="G352" s="46" t="e">
        <f t="shared" si="10"/>
        <v>#VALUE!</v>
      </c>
      <c r="H352" t="e">
        <f t="shared" si="11"/>
        <v>#VALUE!</v>
      </c>
    </row>
    <row r="353" spans="1:8" x14ac:dyDescent="0.25">
      <c r="A353" t="s">
        <v>24</v>
      </c>
      <c r="B353" s="101" t="s">
        <v>217</v>
      </c>
      <c r="C353" s="46">
        <v>44347.57136574074</v>
      </c>
      <c r="D353" t="s">
        <v>146</v>
      </c>
      <c r="E353">
        <v>56.13</v>
      </c>
      <c r="F353" t="str">
        <f>VLOOKUP(A353*1,Table2[],5,TRUE)</f>
        <v>20:30:00</v>
      </c>
      <c r="G353" s="46" t="e">
        <f t="shared" si="10"/>
        <v>#VALUE!</v>
      </c>
      <c r="H353" t="e">
        <f t="shared" si="11"/>
        <v>#VALUE!</v>
      </c>
    </row>
    <row r="354" spans="1:8" x14ac:dyDescent="0.25">
      <c r="A354" t="s">
        <v>24</v>
      </c>
      <c r="B354" s="101" t="s">
        <v>208</v>
      </c>
      <c r="C354" s="46">
        <v>44347.572002314817</v>
      </c>
      <c r="D354" t="s">
        <v>146</v>
      </c>
      <c r="E354">
        <v>12.19</v>
      </c>
      <c r="F354" t="str">
        <f>VLOOKUP(A354*1,Table2[],5,TRUE)</f>
        <v>20:30:00</v>
      </c>
      <c r="G354" s="46" t="e">
        <f t="shared" si="10"/>
        <v>#VALUE!</v>
      </c>
      <c r="H354" t="e">
        <f t="shared" si="11"/>
        <v>#VALUE!</v>
      </c>
    </row>
    <row r="355" spans="1:8" x14ac:dyDescent="0.25">
      <c r="A355" t="s">
        <v>24</v>
      </c>
      <c r="B355" s="101" t="s">
        <v>208</v>
      </c>
      <c r="C355" s="46">
        <v>44347.572685185187</v>
      </c>
      <c r="D355" t="s">
        <v>147</v>
      </c>
      <c r="E355">
        <v>5</v>
      </c>
      <c r="F355" t="str">
        <f>VLOOKUP(A355*1,Table2[],5,TRUE)</f>
        <v>20:30:00</v>
      </c>
      <c r="G355" s="46" t="e">
        <f t="shared" si="10"/>
        <v>#VALUE!</v>
      </c>
      <c r="H355" t="e">
        <f t="shared" si="11"/>
        <v>#VALUE!</v>
      </c>
    </row>
    <row r="356" spans="1:8" x14ac:dyDescent="0.25">
      <c r="A356" t="s">
        <v>24</v>
      </c>
      <c r="B356" s="101" t="s">
        <v>217</v>
      </c>
      <c r="C356" s="46">
        <v>44347.57298611111</v>
      </c>
      <c r="D356" t="s">
        <v>147</v>
      </c>
      <c r="E356">
        <v>5</v>
      </c>
      <c r="F356" t="str">
        <f>VLOOKUP(A356*1,Table2[],5,TRUE)</f>
        <v>20:30:00</v>
      </c>
      <c r="G356" s="46" t="e">
        <f t="shared" si="10"/>
        <v>#VALUE!</v>
      </c>
      <c r="H356" t="e">
        <f t="shared" si="11"/>
        <v>#VALUE!</v>
      </c>
    </row>
    <row r="357" spans="1:8" x14ac:dyDescent="0.25">
      <c r="A357" t="s">
        <v>24</v>
      </c>
      <c r="B357" s="101" t="s">
        <v>217</v>
      </c>
      <c r="C357" s="46">
        <v>44347.573240740741</v>
      </c>
      <c r="D357" t="s">
        <v>147</v>
      </c>
      <c r="E357">
        <v>14.2</v>
      </c>
      <c r="F357" t="str">
        <f>VLOOKUP(A357*1,Table2[],5,TRUE)</f>
        <v>20:30:00</v>
      </c>
      <c r="G357" s="46" t="e">
        <f t="shared" si="10"/>
        <v>#VALUE!</v>
      </c>
      <c r="H357" t="e">
        <f t="shared" si="11"/>
        <v>#VALUE!</v>
      </c>
    </row>
    <row r="358" spans="1:8" x14ac:dyDescent="0.25">
      <c r="A358" t="s">
        <v>24</v>
      </c>
      <c r="B358" s="101" t="s">
        <v>217</v>
      </c>
      <c r="C358" s="46">
        <v>44347.573495370372</v>
      </c>
      <c r="D358" t="s">
        <v>148</v>
      </c>
      <c r="E358">
        <v>10.8</v>
      </c>
      <c r="F358" t="str">
        <f>VLOOKUP(A358*1,Table2[],5,TRUE)</f>
        <v>20:30:00</v>
      </c>
      <c r="G358" s="46" t="e">
        <f t="shared" si="10"/>
        <v>#VALUE!</v>
      </c>
      <c r="H358" t="e">
        <f t="shared" si="11"/>
        <v>#VALUE!</v>
      </c>
    </row>
    <row r="359" spans="1:8" x14ac:dyDescent="0.25">
      <c r="A359" t="s">
        <v>24</v>
      </c>
      <c r="B359" s="101" t="s">
        <v>217</v>
      </c>
      <c r="C359" s="46">
        <v>44347.574456018519</v>
      </c>
      <c r="D359" t="s">
        <v>146</v>
      </c>
      <c r="E359">
        <v>19.45</v>
      </c>
      <c r="F359" t="str">
        <f>VLOOKUP(A359*1,Table2[],5,TRUE)</f>
        <v>20:30:00</v>
      </c>
      <c r="G359" s="46" t="e">
        <f t="shared" si="10"/>
        <v>#VALUE!</v>
      </c>
      <c r="H359" t="e">
        <f t="shared" si="11"/>
        <v>#VALUE!</v>
      </c>
    </row>
    <row r="360" spans="1:8" x14ac:dyDescent="0.25">
      <c r="A360" t="s">
        <v>24</v>
      </c>
      <c r="B360" s="101" t="s">
        <v>217</v>
      </c>
      <c r="C360" s="46">
        <v>44347.575486111113</v>
      </c>
      <c r="D360" t="s">
        <v>148</v>
      </c>
      <c r="E360">
        <v>21.2</v>
      </c>
      <c r="F360" t="str">
        <f>VLOOKUP(A360*1,Table2[],5,TRUE)</f>
        <v>20:30:00</v>
      </c>
      <c r="G360" s="46" t="e">
        <f t="shared" si="10"/>
        <v>#VALUE!</v>
      </c>
      <c r="H360" t="e">
        <f t="shared" si="11"/>
        <v>#VALUE!</v>
      </c>
    </row>
    <row r="361" spans="1:8" x14ac:dyDescent="0.25">
      <c r="A361" t="s">
        <v>24</v>
      </c>
      <c r="B361" s="101" t="s">
        <v>208</v>
      </c>
      <c r="C361" s="46">
        <v>44347.57576388889</v>
      </c>
      <c r="D361" t="s">
        <v>147</v>
      </c>
      <c r="E361">
        <v>24</v>
      </c>
      <c r="F361" t="str">
        <f>VLOOKUP(A361*1,Table2[],5,TRUE)</f>
        <v>20:30:00</v>
      </c>
      <c r="G361" s="46" t="e">
        <f t="shared" si="10"/>
        <v>#VALUE!</v>
      </c>
      <c r="H361" t="e">
        <f t="shared" si="11"/>
        <v>#VALUE!</v>
      </c>
    </row>
    <row r="362" spans="1:8" x14ac:dyDescent="0.25">
      <c r="A362" t="s">
        <v>24</v>
      </c>
      <c r="B362" s="101" t="s">
        <v>217</v>
      </c>
      <c r="C362" s="46">
        <v>44347.575868055559</v>
      </c>
      <c r="D362" t="s">
        <v>148</v>
      </c>
      <c r="E362">
        <v>4</v>
      </c>
      <c r="F362" t="str">
        <f>VLOOKUP(A362*1,Table2[],5,TRUE)</f>
        <v>20:30:00</v>
      </c>
      <c r="G362" s="46" t="e">
        <f t="shared" si="10"/>
        <v>#VALUE!</v>
      </c>
      <c r="H362" t="e">
        <f t="shared" si="11"/>
        <v>#VALUE!</v>
      </c>
    </row>
    <row r="364" spans="1:8" x14ac:dyDescent="0.25">
      <c r="A364" t="s">
        <v>24</v>
      </c>
      <c r="B364" s="101" t="s">
        <v>208</v>
      </c>
      <c r="C364" s="46">
        <v>44347.577094907407</v>
      </c>
      <c r="D364" t="s">
        <v>147</v>
      </c>
      <c r="E364">
        <v>14.3</v>
      </c>
      <c r="F364" t="str">
        <f>VLOOKUP(A364*1,Table2[],5,TRUE)</f>
        <v>20:30:00</v>
      </c>
      <c r="G364" s="46" t="e">
        <f t="shared" si="10"/>
        <v>#VALUE!</v>
      </c>
      <c r="H364" t="e">
        <f t="shared" si="11"/>
        <v>#VALUE!</v>
      </c>
    </row>
    <row r="365" spans="1:8" x14ac:dyDescent="0.25">
      <c r="A365" t="s">
        <v>24</v>
      </c>
      <c r="B365" s="101" t="s">
        <v>217</v>
      </c>
      <c r="C365" s="46">
        <v>44347.577326388891</v>
      </c>
      <c r="D365" t="s">
        <v>147</v>
      </c>
      <c r="E365">
        <v>70.13</v>
      </c>
      <c r="F365" t="str">
        <f>VLOOKUP(A365*1,Table2[],5,TRUE)</f>
        <v>20:30:00</v>
      </c>
      <c r="G365" s="46" t="e">
        <f t="shared" si="10"/>
        <v>#VALUE!</v>
      </c>
      <c r="H365" t="e">
        <f t="shared" si="11"/>
        <v>#VALUE!</v>
      </c>
    </row>
    <row r="366" spans="1:8" x14ac:dyDescent="0.25">
      <c r="A366" t="s">
        <v>24</v>
      </c>
      <c r="B366" s="101" t="s">
        <v>217</v>
      </c>
      <c r="C366" s="46">
        <v>44347.577789351853</v>
      </c>
      <c r="D366" t="s">
        <v>147</v>
      </c>
      <c r="E366">
        <v>12.2</v>
      </c>
      <c r="F366" t="str">
        <f>VLOOKUP(A366*1,Table2[],5,TRUE)</f>
        <v>20:30:00</v>
      </c>
      <c r="G366" s="46" t="e">
        <f t="shared" si="10"/>
        <v>#VALUE!</v>
      </c>
      <c r="H366" t="e">
        <f t="shared" si="11"/>
        <v>#VALUE!</v>
      </c>
    </row>
    <row r="367" spans="1:8" x14ac:dyDescent="0.25">
      <c r="A367" t="s">
        <v>24</v>
      </c>
      <c r="B367" s="101" t="s">
        <v>217</v>
      </c>
      <c r="C367" s="46">
        <v>44347.578148148146</v>
      </c>
      <c r="D367" t="s">
        <v>147</v>
      </c>
      <c r="E367">
        <v>17.95</v>
      </c>
      <c r="F367" t="str">
        <f>VLOOKUP(A367*1,Table2[],5,TRUE)</f>
        <v>20:30:00</v>
      </c>
      <c r="G367" s="46" t="e">
        <f t="shared" si="10"/>
        <v>#VALUE!</v>
      </c>
      <c r="H367" t="e">
        <f t="shared" si="11"/>
        <v>#VALUE!</v>
      </c>
    </row>
    <row r="368" spans="1:8" x14ac:dyDescent="0.25">
      <c r="A368" t="s">
        <v>24</v>
      </c>
      <c r="B368" s="101" t="s">
        <v>217</v>
      </c>
      <c r="C368" s="46">
        <v>44347.580578703702</v>
      </c>
      <c r="D368" t="s">
        <v>146</v>
      </c>
      <c r="E368">
        <v>8</v>
      </c>
      <c r="F368" t="str">
        <f>VLOOKUP(A368*1,Table2[],5,TRUE)</f>
        <v>20:30:00</v>
      </c>
      <c r="G368" s="46" t="e">
        <f t="shared" si="10"/>
        <v>#VALUE!</v>
      </c>
      <c r="H368" t="e">
        <f t="shared" si="11"/>
        <v>#VALUE!</v>
      </c>
    </row>
    <row r="369" spans="1:8" x14ac:dyDescent="0.25">
      <c r="A369" t="s">
        <v>24</v>
      </c>
      <c r="B369" s="101" t="s">
        <v>208</v>
      </c>
      <c r="C369" s="46">
        <v>44347.580740740741</v>
      </c>
      <c r="D369" t="s">
        <v>147</v>
      </c>
      <c r="E369">
        <v>18.79</v>
      </c>
      <c r="F369" t="str">
        <f>VLOOKUP(A369*1,Table2[],5,TRUE)</f>
        <v>20:30:00</v>
      </c>
      <c r="G369" s="46" t="e">
        <f t="shared" si="10"/>
        <v>#VALUE!</v>
      </c>
      <c r="H369" t="e">
        <f t="shared" si="11"/>
        <v>#VALUE!</v>
      </c>
    </row>
    <row r="370" spans="1:8" x14ac:dyDescent="0.25">
      <c r="A370" t="s">
        <v>24</v>
      </c>
      <c r="B370" s="101" t="s">
        <v>208</v>
      </c>
      <c r="C370" s="46">
        <v>44347.58258101852</v>
      </c>
      <c r="D370" t="s">
        <v>146</v>
      </c>
      <c r="E370">
        <v>5.5</v>
      </c>
      <c r="F370" t="str">
        <f>VLOOKUP(A370*1,Table2[],5,TRUE)</f>
        <v>20:30:00</v>
      </c>
      <c r="G370" s="46" t="e">
        <f t="shared" si="10"/>
        <v>#VALUE!</v>
      </c>
      <c r="H370" t="e">
        <f t="shared" si="11"/>
        <v>#VALUE!</v>
      </c>
    </row>
    <row r="371" spans="1:8" x14ac:dyDescent="0.25">
      <c r="A371" t="s">
        <v>24</v>
      </c>
      <c r="B371" s="101" t="s">
        <v>217</v>
      </c>
      <c r="C371" s="46">
        <v>44347.584004629629</v>
      </c>
      <c r="D371" t="s">
        <v>148</v>
      </c>
      <c r="E371">
        <v>11</v>
      </c>
      <c r="F371" t="str">
        <f>VLOOKUP(A371*1,Table2[],5,TRUE)</f>
        <v>20:30:00</v>
      </c>
      <c r="G371" s="46" t="e">
        <f t="shared" si="10"/>
        <v>#VALUE!</v>
      </c>
      <c r="H371" t="e">
        <f t="shared" si="11"/>
        <v>#VALUE!</v>
      </c>
    </row>
    <row r="372" spans="1:8" x14ac:dyDescent="0.25">
      <c r="A372" t="s">
        <v>24</v>
      </c>
      <c r="B372" s="101" t="s">
        <v>217</v>
      </c>
      <c r="C372" s="46">
        <v>44347.584340277775</v>
      </c>
      <c r="D372" t="s">
        <v>148</v>
      </c>
      <c r="E372">
        <v>39.99</v>
      </c>
      <c r="F372" t="str">
        <f>VLOOKUP(A372*1,Table2[],5,TRUE)</f>
        <v>20:30:00</v>
      </c>
      <c r="G372" s="46" t="e">
        <f t="shared" si="10"/>
        <v>#VALUE!</v>
      </c>
      <c r="H372" t="e">
        <f t="shared" si="11"/>
        <v>#VALUE!</v>
      </c>
    </row>
    <row r="373" spans="1:8" x14ac:dyDescent="0.25">
      <c r="A373" t="s">
        <v>24</v>
      </c>
      <c r="B373" s="101" t="s">
        <v>217</v>
      </c>
      <c r="C373" s="46">
        <v>44347.584641203706</v>
      </c>
      <c r="D373" t="s">
        <v>146</v>
      </c>
      <c r="E373">
        <v>8.99</v>
      </c>
      <c r="F373" t="str">
        <f>VLOOKUP(A373*1,Table2[],5,TRUE)</f>
        <v>20:30:00</v>
      </c>
      <c r="G373" s="46" t="e">
        <f t="shared" si="10"/>
        <v>#VALUE!</v>
      </c>
      <c r="H373" t="e">
        <f t="shared" si="11"/>
        <v>#VALUE!</v>
      </c>
    </row>
    <row r="374" spans="1:8" x14ac:dyDescent="0.25">
      <c r="A374" t="s">
        <v>24</v>
      </c>
      <c r="B374" s="101" t="s">
        <v>217</v>
      </c>
      <c r="C374" s="46">
        <v>44347.584861111114</v>
      </c>
      <c r="D374" t="s">
        <v>147</v>
      </c>
      <c r="E374">
        <v>16.149999999999999</v>
      </c>
      <c r="F374" t="str">
        <f>VLOOKUP(A374*1,Table2[],5,TRUE)</f>
        <v>20:30:00</v>
      </c>
      <c r="G374" s="46" t="e">
        <f t="shared" si="10"/>
        <v>#VALUE!</v>
      </c>
      <c r="H374" t="e">
        <f t="shared" si="11"/>
        <v>#VALUE!</v>
      </c>
    </row>
    <row r="375" spans="1:8" x14ac:dyDescent="0.25">
      <c r="A375" t="s">
        <v>24</v>
      </c>
      <c r="B375" s="101" t="s">
        <v>217</v>
      </c>
      <c r="C375" s="46">
        <v>44347.585046296299</v>
      </c>
      <c r="D375" t="s">
        <v>147</v>
      </c>
      <c r="E375">
        <v>12.7</v>
      </c>
      <c r="F375" t="str">
        <f>VLOOKUP(A375*1,Table2[],5,TRUE)</f>
        <v>20:30:00</v>
      </c>
      <c r="G375" s="46" t="e">
        <f t="shared" si="10"/>
        <v>#VALUE!</v>
      </c>
      <c r="H375" t="e">
        <f t="shared" si="11"/>
        <v>#VALUE!</v>
      </c>
    </row>
    <row r="376" spans="1:8" x14ac:dyDescent="0.25">
      <c r="A376" t="s">
        <v>24</v>
      </c>
      <c r="B376" s="101" t="s">
        <v>217</v>
      </c>
      <c r="C376" s="46">
        <v>44347.585231481484</v>
      </c>
      <c r="D376" t="s">
        <v>147</v>
      </c>
      <c r="E376">
        <v>9.99</v>
      </c>
      <c r="F376" t="str">
        <f>VLOOKUP(A376*1,Table2[],5,TRUE)</f>
        <v>20:30:00</v>
      </c>
      <c r="G376" s="46" t="e">
        <f t="shared" si="10"/>
        <v>#VALUE!</v>
      </c>
      <c r="H376" t="e">
        <f t="shared" si="11"/>
        <v>#VALUE!</v>
      </c>
    </row>
    <row r="377" spans="1:8" x14ac:dyDescent="0.25">
      <c r="A377" t="s">
        <v>24</v>
      </c>
      <c r="B377" s="101" t="s">
        <v>217</v>
      </c>
      <c r="C377" s="46">
        <v>44347.585474537038</v>
      </c>
      <c r="D377" t="s">
        <v>147</v>
      </c>
      <c r="E377">
        <v>9.99</v>
      </c>
      <c r="F377" t="str">
        <f>VLOOKUP(A377*1,Table2[],5,TRUE)</f>
        <v>20:30:00</v>
      </c>
      <c r="G377" s="46" t="e">
        <f t="shared" si="10"/>
        <v>#VALUE!</v>
      </c>
      <c r="H377" t="e">
        <f t="shared" si="11"/>
        <v>#VALUE!</v>
      </c>
    </row>
    <row r="378" spans="1:8" x14ac:dyDescent="0.25">
      <c r="A378" t="s">
        <v>24</v>
      </c>
      <c r="B378" s="101" t="s">
        <v>208</v>
      </c>
      <c r="C378" s="46">
        <v>44347.58662037037</v>
      </c>
      <c r="D378" t="s">
        <v>148</v>
      </c>
      <c r="E378">
        <v>33.89</v>
      </c>
      <c r="F378" t="str">
        <f>VLOOKUP(A378*1,Table2[],5,TRUE)</f>
        <v>20:30:00</v>
      </c>
      <c r="G378" s="46" t="e">
        <f t="shared" si="10"/>
        <v>#VALUE!</v>
      </c>
      <c r="H378" t="e">
        <f t="shared" si="11"/>
        <v>#VALUE!</v>
      </c>
    </row>
    <row r="379" spans="1:8" x14ac:dyDescent="0.25">
      <c r="A379" t="s">
        <v>24</v>
      </c>
      <c r="B379" s="101" t="s">
        <v>217</v>
      </c>
      <c r="C379" s="46">
        <v>44347.587175925924</v>
      </c>
      <c r="D379" t="s">
        <v>148</v>
      </c>
      <c r="E379">
        <v>93.73</v>
      </c>
      <c r="F379" t="str">
        <f>VLOOKUP(A379*1,Table2[],5,TRUE)</f>
        <v>20:30:00</v>
      </c>
      <c r="G379" s="46" t="e">
        <f t="shared" si="10"/>
        <v>#VALUE!</v>
      </c>
      <c r="H379" t="e">
        <f t="shared" si="11"/>
        <v>#VALUE!</v>
      </c>
    </row>
    <row r="380" spans="1:8" x14ac:dyDescent="0.25">
      <c r="A380" t="s">
        <v>24</v>
      </c>
      <c r="B380" s="101" t="s">
        <v>208</v>
      </c>
      <c r="C380" s="46">
        <v>44347.587372685186</v>
      </c>
      <c r="D380" t="s">
        <v>147</v>
      </c>
      <c r="E380">
        <v>151.99</v>
      </c>
      <c r="F380" t="str">
        <f>VLOOKUP(A380*1,Table2[],5,TRUE)</f>
        <v>20:30:00</v>
      </c>
      <c r="G380" s="46" t="e">
        <f t="shared" si="10"/>
        <v>#VALUE!</v>
      </c>
      <c r="H380" t="e">
        <f t="shared" si="11"/>
        <v>#VALUE!</v>
      </c>
    </row>
    <row r="381" spans="1:8" x14ac:dyDescent="0.25">
      <c r="A381" t="s">
        <v>24</v>
      </c>
      <c r="B381" s="101" t="s">
        <v>208</v>
      </c>
      <c r="C381" s="46">
        <v>44347.588067129633</v>
      </c>
      <c r="D381" t="s">
        <v>147</v>
      </c>
      <c r="E381">
        <v>36.49</v>
      </c>
      <c r="F381" t="str">
        <f>VLOOKUP(A381*1,Table2[],5,TRUE)</f>
        <v>20:30:00</v>
      </c>
      <c r="G381" s="46" t="e">
        <f t="shared" si="10"/>
        <v>#VALUE!</v>
      </c>
      <c r="H381" t="e">
        <f t="shared" si="11"/>
        <v>#VALUE!</v>
      </c>
    </row>
    <row r="382" spans="1:8" x14ac:dyDescent="0.25">
      <c r="A382" t="s">
        <v>24</v>
      </c>
      <c r="B382" s="101" t="s">
        <v>217</v>
      </c>
      <c r="C382" s="46">
        <v>44347.58898148148</v>
      </c>
      <c r="D382" t="s">
        <v>147</v>
      </c>
      <c r="E382">
        <v>15.2</v>
      </c>
      <c r="F382" t="str">
        <f>VLOOKUP(A382*1,Table2[],5,TRUE)</f>
        <v>20:30:00</v>
      </c>
      <c r="G382" s="46" t="e">
        <f t="shared" si="10"/>
        <v>#VALUE!</v>
      </c>
      <c r="H382" t="e">
        <f t="shared" si="11"/>
        <v>#VALUE!</v>
      </c>
    </row>
    <row r="383" spans="1:8" x14ac:dyDescent="0.25">
      <c r="A383" t="s">
        <v>24</v>
      </c>
      <c r="B383" s="101" t="s">
        <v>208</v>
      </c>
      <c r="C383" s="46">
        <v>44347.589513888888</v>
      </c>
      <c r="D383" t="s">
        <v>146</v>
      </c>
      <c r="E383">
        <v>32.979999999999997</v>
      </c>
      <c r="F383" t="str">
        <f>VLOOKUP(A383*1,Table2[],5,TRUE)</f>
        <v>20:30:00</v>
      </c>
      <c r="G383" s="46" t="e">
        <f t="shared" si="10"/>
        <v>#VALUE!</v>
      </c>
      <c r="H383" t="e">
        <f t="shared" si="11"/>
        <v>#VALUE!</v>
      </c>
    </row>
    <row r="384" spans="1:8" x14ac:dyDescent="0.25">
      <c r="A384" t="s">
        <v>24</v>
      </c>
      <c r="B384" s="101" t="s">
        <v>217</v>
      </c>
      <c r="C384" s="46">
        <v>44347.589594907404</v>
      </c>
      <c r="D384" t="s">
        <v>148</v>
      </c>
      <c r="E384">
        <v>11.8</v>
      </c>
      <c r="F384" t="str">
        <f>VLOOKUP(A384*1,Table2[],5,TRUE)</f>
        <v>20:30:00</v>
      </c>
      <c r="G384" s="46" t="e">
        <f t="shared" si="10"/>
        <v>#VALUE!</v>
      </c>
      <c r="H384" t="e">
        <f t="shared" si="11"/>
        <v>#VALUE!</v>
      </c>
    </row>
    <row r="385" spans="1:8" x14ac:dyDescent="0.25">
      <c r="A385" t="s">
        <v>24</v>
      </c>
      <c r="B385" s="101" t="s">
        <v>208</v>
      </c>
      <c r="C385" s="46">
        <v>44347.589768518519</v>
      </c>
      <c r="D385" t="s">
        <v>146</v>
      </c>
      <c r="E385">
        <v>6.5</v>
      </c>
      <c r="F385" t="str">
        <f>VLOOKUP(A385*1,Table2[],5,TRUE)</f>
        <v>20:30:00</v>
      </c>
      <c r="G385" s="46" t="e">
        <f t="shared" si="10"/>
        <v>#VALUE!</v>
      </c>
      <c r="H385" t="e">
        <f t="shared" si="11"/>
        <v>#VALUE!</v>
      </c>
    </row>
    <row r="387" spans="1:8" x14ac:dyDescent="0.25">
      <c r="A387" t="s">
        <v>24</v>
      </c>
      <c r="B387" s="101" t="s">
        <v>217</v>
      </c>
      <c r="C387" s="46">
        <v>44347.590219907404</v>
      </c>
      <c r="D387" t="s">
        <v>146</v>
      </c>
      <c r="E387">
        <v>8.1999999999999993</v>
      </c>
      <c r="F387" t="str">
        <f>VLOOKUP(A387*1,Table2[],5,TRUE)</f>
        <v>20:30:00</v>
      </c>
      <c r="G387" s="46" t="e">
        <f t="shared" ref="G387:G449" si="12">DATEVALUE(TEXT($L$2-1,"DD/MM/YYYY"))+TIMEVALUE(TEXT(F387,"HH:MM:SS"))</f>
        <v>#VALUE!</v>
      </c>
      <c r="H387" t="e">
        <f t="shared" ref="H387:H449" si="13">IF(C387&lt;G387,"Before Bank Cut Off",IF(C387&gt;=DATEVALUE($L$2),"After Midnight","In Between"))</f>
        <v>#VALUE!</v>
      </c>
    </row>
    <row r="388" spans="1:8" x14ac:dyDescent="0.25">
      <c r="A388" t="s">
        <v>24</v>
      </c>
      <c r="B388" s="101" t="s">
        <v>208</v>
      </c>
      <c r="C388" s="46">
        <v>44347.590405092589</v>
      </c>
      <c r="D388" t="s">
        <v>147</v>
      </c>
      <c r="E388">
        <v>9.4</v>
      </c>
      <c r="F388" t="str">
        <f>VLOOKUP(A388*1,Table2[],5,TRUE)</f>
        <v>20:30:00</v>
      </c>
      <c r="G388" s="46" t="e">
        <f t="shared" si="12"/>
        <v>#VALUE!</v>
      </c>
      <c r="H388" t="e">
        <f t="shared" si="13"/>
        <v>#VALUE!</v>
      </c>
    </row>
    <row r="389" spans="1:8" x14ac:dyDescent="0.25">
      <c r="A389" t="s">
        <v>24</v>
      </c>
      <c r="B389" s="101" t="s">
        <v>208</v>
      </c>
      <c r="C389" s="46">
        <v>44347.593043981484</v>
      </c>
      <c r="D389" t="s">
        <v>148</v>
      </c>
      <c r="E389">
        <v>29.95</v>
      </c>
      <c r="F389" t="str">
        <f>VLOOKUP(A389*1,Table2[],5,TRUE)</f>
        <v>20:30:00</v>
      </c>
      <c r="G389" s="46" t="e">
        <f t="shared" si="12"/>
        <v>#VALUE!</v>
      </c>
      <c r="H389" t="e">
        <f t="shared" si="13"/>
        <v>#VALUE!</v>
      </c>
    </row>
    <row r="390" spans="1:8" x14ac:dyDescent="0.25">
      <c r="A390" t="s">
        <v>24</v>
      </c>
      <c r="B390" s="101" t="s">
        <v>217</v>
      </c>
      <c r="C390" s="46">
        <v>44347.593842592592</v>
      </c>
      <c r="D390" t="s">
        <v>146</v>
      </c>
      <c r="E390">
        <v>14.2</v>
      </c>
      <c r="F390" t="str">
        <f>VLOOKUP(A390*1,Table2[],5,TRUE)</f>
        <v>20:30:00</v>
      </c>
      <c r="G390" s="46" t="e">
        <f t="shared" si="12"/>
        <v>#VALUE!</v>
      </c>
      <c r="H390" t="e">
        <f t="shared" si="13"/>
        <v>#VALUE!</v>
      </c>
    </row>
    <row r="391" spans="1:8" x14ac:dyDescent="0.25">
      <c r="A391" t="s">
        <v>24</v>
      </c>
      <c r="B391" s="101" t="s">
        <v>208</v>
      </c>
      <c r="C391" s="46">
        <v>44347.594953703701</v>
      </c>
      <c r="D391" t="s">
        <v>148</v>
      </c>
      <c r="E391">
        <v>10</v>
      </c>
      <c r="F391" t="str">
        <f>VLOOKUP(A391*1,Table2[],5,TRUE)</f>
        <v>20:30:00</v>
      </c>
      <c r="G391" s="46" t="e">
        <f t="shared" si="12"/>
        <v>#VALUE!</v>
      </c>
      <c r="H391" t="e">
        <f t="shared" si="13"/>
        <v>#VALUE!</v>
      </c>
    </row>
    <row r="392" spans="1:8" x14ac:dyDescent="0.25">
      <c r="A392" t="s">
        <v>24</v>
      </c>
      <c r="B392" s="101" t="s">
        <v>208</v>
      </c>
      <c r="C392" s="46">
        <v>44347.595324074071</v>
      </c>
      <c r="D392" t="s">
        <v>147</v>
      </c>
      <c r="E392">
        <v>6.5</v>
      </c>
      <c r="F392" t="str">
        <f>VLOOKUP(A392*1,Table2[],5,TRUE)</f>
        <v>20:30:00</v>
      </c>
      <c r="G392" s="46" t="e">
        <f t="shared" si="12"/>
        <v>#VALUE!</v>
      </c>
      <c r="H392" t="e">
        <f t="shared" si="13"/>
        <v>#VALUE!</v>
      </c>
    </row>
    <row r="393" spans="1:8" x14ac:dyDescent="0.25">
      <c r="A393" t="s">
        <v>24</v>
      </c>
      <c r="B393" s="101" t="s">
        <v>208</v>
      </c>
      <c r="C393" s="46">
        <v>44347.595925925925</v>
      </c>
      <c r="D393" t="s">
        <v>147</v>
      </c>
      <c r="E393">
        <v>5</v>
      </c>
      <c r="F393" t="str">
        <f>VLOOKUP(A393*1,Table2[],5,TRUE)</f>
        <v>20:30:00</v>
      </c>
      <c r="G393" s="46" t="e">
        <f t="shared" si="12"/>
        <v>#VALUE!</v>
      </c>
      <c r="H393" t="e">
        <f t="shared" si="13"/>
        <v>#VALUE!</v>
      </c>
    </row>
    <row r="394" spans="1:8" x14ac:dyDescent="0.25">
      <c r="A394" t="s">
        <v>24</v>
      </c>
      <c r="B394" s="101" t="s">
        <v>208</v>
      </c>
      <c r="C394" s="46">
        <v>44347.596817129626</v>
      </c>
      <c r="D394" t="s">
        <v>147</v>
      </c>
      <c r="E394">
        <v>24.95</v>
      </c>
      <c r="F394" t="str">
        <f>VLOOKUP(A394*1,Table2[],5,TRUE)</f>
        <v>20:30:00</v>
      </c>
      <c r="G394" s="46" t="e">
        <f t="shared" si="12"/>
        <v>#VALUE!</v>
      </c>
      <c r="H394" t="e">
        <f t="shared" si="13"/>
        <v>#VALUE!</v>
      </c>
    </row>
    <row r="395" spans="1:8" x14ac:dyDescent="0.25">
      <c r="A395" t="s">
        <v>24</v>
      </c>
      <c r="B395" s="101" t="s">
        <v>208</v>
      </c>
      <c r="C395" s="46">
        <v>44347.597627314812</v>
      </c>
      <c r="D395" t="s">
        <v>147</v>
      </c>
      <c r="E395">
        <v>4.2</v>
      </c>
      <c r="F395" t="str">
        <f>VLOOKUP(A395*1,Table2[],5,TRUE)</f>
        <v>20:30:00</v>
      </c>
      <c r="G395" s="46" t="e">
        <f t="shared" si="12"/>
        <v>#VALUE!</v>
      </c>
      <c r="H395" t="e">
        <f t="shared" si="13"/>
        <v>#VALUE!</v>
      </c>
    </row>
    <row r="396" spans="1:8" x14ac:dyDescent="0.25">
      <c r="A396" t="s">
        <v>24</v>
      </c>
      <c r="B396" s="101" t="s">
        <v>208</v>
      </c>
      <c r="C396" s="46">
        <v>44347.598425925928</v>
      </c>
      <c r="D396" t="s">
        <v>148</v>
      </c>
      <c r="E396">
        <v>29.98</v>
      </c>
      <c r="F396" t="str">
        <f>VLOOKUP(A396*1,Table2[],5,TRUE)</f>
        <v>20:30:00</v>
      </c>
      <c r="G396" s="46" t="e">
        <f t="shared" si="12"/>
        <v>#VALUE!</v>
      </c>
      <c r="H396" t="e">
        <f t="shared" si="13"/>
        <v>#VALUE!</v>
      </c>
    </row>
    <row r="397" spans="1:8" x14ac:dyDescent="0.25">
      <c r="A397" t="s">
        <v>24</v>
      </c>
      <c r="B397" s="101" t="s">
        <v>208</v>
      </c>
      <c r="C397" s="46">
        <v>44347.599293981482</v>
      </c>
      <c r="D397" t="s">
        <v>146</v>
      </c>
      <c r="E397">
        <v>4.7</v>
      </c>
      <c r="F397" t="str">
        <f>VLOOKUP(A397*1,Table2[],5,TRUE)</f>
        <v>20:30:00</v>
      </c>
      <c r="G397" s="46" t="e">
        <f t="shared" si="12"/>
        <v>#VALUE!</v>
      </c>
      <c r="H397" t="e">
        <f t="shared" si="13"/>
        <v>#VALUE!</v>
      </c>
    </row>
    <row r="398" spans="1:8" x14ac:dyDescent="0.25">
      <c r="A398" t="s">
        <v>24</v>
      </c>
      <c r="B398" s="101" t="s">
        <v>208</v>
      </c>
      <c r="C398" s="46">
        <v>44347.599560185183</v>
      </c>
      <c r="D398" t="s">
        <v>147</v>
      </c>
      <c r="E398">
        <v>19.989999999999998</v>
      </c>
      <c r="F398" t="str">
        <f>VLOOKUP(A398*1,Table2[],5,TRUE)</f>
        <v>20:30:00</v>
      </c>
      <c r="G398" s="46" t="e">
        <f t="shared" si="12"/>
        <v>#VALUE!</v>
      </c>
      <c r="H398" t="e">
        <f t="shared" si="13"/>
        <v>#VALUE!</v>
      </c>
    </row>
    <row r="399" spans="1:8" x14ac:dyDescent="0.25">
      <c r="A399" t="s">
        <v>24</v>
      </c>
      <c r="B399" s="101" t="s">
        <v>217</v>
      </c>
      <c r="C399" s="46">
        <v>44347.599872685183</v>
      </c>
      <c r="D399" t="s">
        <v>147</v>
      </c>
      <c r="E399">
        <v>19.96</v>
      </c>
      <c r="F399" t="str">
        <f>VLOOKUP(A399*1,Table2[],5,TRUE)</f>
        <v>20:30:00</v>
      </c>
      <c r="G399" s="46" t="e">
        <f t="shared" si="12"/>
        <v>#VALUE!</v>
      </c>
      <c r="H399" t="e">
        <f t="shared" si="13"/>
        <v>#VALUE!</v>
      </c>
    </row>
    <row r="400" spans="1:8" x14ac:dyDescent="0.25">
      <c r="A400" t="s">
        <v>24</v>
      </c>
      <c r="B400" s="101" t="s">
        <v>208</v>
      </c>
      <c r="C400" s="46">
        <v>44347.6</v>
      </c>
      <c r="D400" t="s">
        <v>146</v>
      </c>
      <c r="E400">
        <v>15.6</v>
      </c>
      <c r="F400" t="str">
        <f>VLOOKUP(A400*1,Table2[],5,TRUE)</f>
        <v>20:30:00</v>
      </c>
      <c r="G400" s="46" t="e">
        <f t="shared" si="12"/>
        <v>#VALUE!</v>
      </c>
      <c r="H400" t="e">
        <f t="shared" si="13"/>
        <v>#VALUE!</v>
      </c>
    </row>
    <row r="401" spans="1:8" x14ac:dyDescent="0.25">
      <c r="A401" t="s">
        <v>24</v>
      </c>
      <c r="B401" s="101" t="s">
        <v>208</v>
      </c>
      <c r="C401" s="46">
        <v>44347.600462962961</v>
      </c>
      <c r="D401" t="s">
        <v>148</v>
      </c>
      <c r="E401">
        <v>13.7</v>
      </c>
      <c r="F401" t="str">
        <f>VLOOKUP(A401*1,Table2[],5,TRUE)</f>
        <v>20:30:00</v>
      </c>
      <c r="G401" s="46" t="e">
        <f t="shared" si="12"/>
        <v>#VALUE!</v>
      </c>
      <c r="H401" t="e">
        <f t="shared" si="13"/>
        <v>#VALUE!</v>
      </c>
    </row>
    <row r="402" spans="1:8" x14ac:dyDescent="0.25">
      <c r="A402" t="s">
        <v>24</v>
      </c>
      <c r="B402" s="101" t="s">
        <v>217</v>
      </c>
      <c r="C402" s="46">
        <v>44347.600949074076</v>
      </c>
      <c r="D402" t="s">
        <v>147</v>
      </c>
      <c r="E402">
        <v>6.5</v>
      </c>
      <c r="F402" t="str">
        <f>VLOOKUP(A402*1,Table2[],5,TRUE)</f>
        <v>20:30:00</v>
      </c>
      <c r="G402" s="46" t="e">
        <f t="shared" si="12"/>
        <v>#VALUE!</v>
      </c>
      <c r="H402" t="e">
        <f t="shared" si="13"/>
        <v>#VALUE!</v>
      </c>
    </row>
    <row r="403" spans="1:8" x14ac:dyDescent="0.25">
      <c r="A403" t="s">
        <v>24</v>
      </c>
      <c r="B403" s="101" t="s">
        <v>208</v>
      </c>
      <c r="C403" s="46">
        <v>44347.601319444446</v>
      </c>
      <c r="D403" t="s">
        <v>148</v>
      </c>
      <c r="E403">
        <v>69.930000000000007</v>
      </c>
      <c r="F403" t="str">
        <f>VLOOKUP(A403*1,Table2[],5,TRUE)</f>
        <v>20:30:00</v>
      </c>
      <c r="G403" s="46" t="e">
        <f t="shared" si="12"/>
        <v>#VALUE!</v>
      </c>
      <c r="H403" t="e">
        <f t="shared" si="13"/>
        <v>#VALUE!</v>
      </c>
    </row>
    <row r="404" spans="1:8" x14ac:dyDescent="0.25">
      <c r="A404" t="s">
        <v>24</v>
      </c>
      <c r="B404" s="101" t="s">
        <v>208</v>
      </c>
      <c r="C404" s="46">
        <v>44347.601759259262</v>
      </c>
      <c r="D404" t="s">
        <v>146</v>
      </c>
      <c r="E404">
        <v>13</v>
      </c>
      <c r="F404" t="str">
        <f>VLOOKUP(A404*1,Table2[],5,TRUE)</f>
        <v>20:30:00</v>
      </c>
      <c r="G404" s="46" t="e">
        <f t="shared" si="12"/>
        <v>#VALUE!</v>
      </c>
      <c r="H404" t="e">
        <f t="shared" si="13"/>
        <v>#VALUE!</v>
      </c>
    </row>
    <row r="405" spans="1:8" x14ac:dyDescent="0.25">
      <c r="A405" t="s">
        <v>24</v>
      </c>
      <c r="B405" s="101" t="s">
        <v>208</v>
      </c>
      <c r="C405" s="46">
        <v>44347.602326388886</v>
      </c>
      <c r="D405" t="s">
        <v>146</v>
      </c>
      <c r="E405">
        <v>11.5</v>
      </c>
      <c r="F405" t="str">
        <f>VLOOKUP(A405*1,Table2[],5,TRUE)</f>
        <v>20:30:00</v>
      </c>
      <c r="G405" s="46" t="e">
        <f t="shared" si="12"/>
        <v>#VALUE!</v>
      </c>
      <c r="H405" t="e">
        <f t="shared" si="13"/>
        <v>#VALUE!</v>
      </c>
    </row>
    <row r="406" spans="1:8" x14ac:dyDescent="0.25">
      <c r="A406" t="s">
        <v>24</v>
      </c>
      <c r="B406" s="101" t="s">
        <v>208</v>
      </c>
      <c r="C406" s="46">
        <v>44347.602858796294</v>
      </c>
      <c r="D406" t="s">
        <v>147</v>
      </c>
      <c r="E406">
        <v>17</v>
      </c>
      <c r="F406" t="str">
        <f>VLOOKUP(A406*1,Table2[],5,TRUE)</f>
        <v>20:30:00</v>
      </c>
      <c r="G406" s="46" t="e">
        <f t="shared" si="12"/>
        <v>#VALUE!</v>
      </c>
      <c r="H406" t="e">
        <f t="shared" si="13"/>
        <v>#VALUE!</v>
      </c>
    </row>
    <row r="407" spans="1:8" x14ac:dyDescent="0.25">
      <c r="A407" t="s">
        <v>24</v>
      </c>
      <c r="B407" s="101" t="s">
        <v>208</v>
      </c>
      <c r="C407" s="46">
        <v>44347.603078703702</v>
      </c>
      <c r="D407" t="s">
        <v>147</v>
      </c>
      <c r="E407">
        <v>6.6</v>
      </c>
      <c r="F407" t="str">
        <f>VLOOKUP(A407*1,Table2[],5,TRUE)</f>
        <v>20:30:00</v>
      </c>
      <c r="G407" s="46" t="e">
        <f t="shared" si="12"/>
        <v>#VALUE!</v>
      </c>
      <c r="H407" t="e">
        <f t="shared" si="13"/>
        <v>#VALUE!</v>
      </c>
    </row>
    <row r="408" spans="1:8" x14ac:dyDescent="0.25">
      <c r="A408" t="s">
        <v>24</v>
      </c>
      <c r="B408" s="101" t="s">
        <v>208</v>
      </c>
      <c r="C408" s="46">
        <v>44347.603692129633</v>
      </c>
      <c r="D408" t="s">
        <v>146</v>
      </c>
      <c r="E408">
        <v>19.95</v>
      </c>
      <c r="F408" t="str">
        <f>VLOOKUP(A408*1,Table2[],5,TRUE)</f>
        <v>20:30:00</v>
      </c>
      <c r="G408" s="46" t="e">
        <f t="shared" si="12"/>
        <v>#VALUE!</v>
      </c>
      <c r="H408" t="e">
        <f t="shared" si="13"/>
        <v>#VALUE!</v>
      </c>
    </row>
    <row r="409" spans="1:8" x14ac:dyDescent="0.25">
      <c r="A409" t="s">
        <v>24</v>
      </c>
      <c r="B409" s="101" t="s">
        <v>208</v>
      </c>
      <c r="C409" s="46">
        <v>44347.604247685187</v>
      </c>
      <c r="D409" t="s">
        <v>147</v>
      </c>
      <c r="E409">
        <v>46.11</v>
      </c>
      <c r="F409" t="str">
        <f>VLOOKUP(A409*1,Table2[],5,TRUE)</f>
        <v>20:30:00</v>
      </c>
      <c r="G409" s="46" t="e">
        <f t="shared" si="12"/>
        <v>#VALUE!</v>
      </c>
      <c r="H409" t="e">
        <f t="shared" si="13"/>
        <v>#VALUE!</v>
      </c>
    </row>
    <row r="410" spans="1:8" x14ac:dyDescent="0.25">
      <c r="A410" t="s">
        <v>24</v>
      </c>
      <c r="B410" s="101" t="s">
        <v>208</v>
      </c>
      <c r="C410" s="46">
        <v>44347.605925925927</v>
      </c>
      <c r="D410" t="s">
        <v>148</v>
      </c>
      <c r="E410">
        <v>39.979999999999997</v>
      </c>
      <c r="F410" t="str">
        <f>VLOOKUP(A410*1,Table2[],5,TRUE)</f>
        <v>20:30:00</v>
      </c>
      <c r="G410" s="46" t="e">
        <f t="shared" si="12"/>
        <v>#VALUE!</v>
      </c>
      <c r="H410" t="e">
        <f t="shared" si="13"/>
        <v>#VALUE!</v>
      </c>
    </row>
    <row r="411" spans="1:8" x14ac:dyDescent="0.25">
      <c r="A411" t="s">
        <v>24</v>
      </c>
      <c r="B411" s="101" t="s">
        <v>208</v>
      </c>
      <c r="C411" s="46">
        <v>44347.606712962966</v>
      </c>
      <c r="D411" t="s">
        <v>146</v>
      </c>
      <c r="E411">
        <v>13</v>
      </c>
      <c r="F411" t="str">
        <f>VLOOKUP(A411*1,Table2[],5,TRUE)</f>
        <v>20:30:00</v>
      </c>
      <c r="G411" s="46" t="e">
        <f t="shared" si="12"/>
        <v>#VALUE!</v>
      </c>
      <c r="H411" t="e">
        <f t="shared" si="13"/>
        <v>#VALUE!</v>
      </c>
    </row>
    <row r="412" spans="1:8" x14ac:dyDescent="0.25">
      <c r="A412" t="s">
        <v>24</v>
      </c>
      <c r="B412" s="101" t="s">
        <v>208</v>
      </c>
      <c r="C412" s="46">
        <v>44347.607094907406</v>
      </c>
      <c r="D412" t="s">
        <v>146</v>
      </c>
      <c r="E412">
        <v>11</v>
      </c>
      <c r="F412" t="str">
        <f>VLOOKUP(A412*1,Table2[],5,TRUE)</f>
        <v>20:30:00</v>
      </c>
      <c r="G412" s="46" t="e">
        <f t="shared" si="12"/>
        <v>#VALUE!</v>
      </c>
      <c r="H412" t="e">
        <f t="shared" si="13"/>
        <v>#VALUE!</v>
      </c>
    </row>
    <row r="413" spans="1:8" x14ac:dyDescent="0.25">
      <c r="A413" t="s">
        <v>24</v>
      </c>
      <c r="B413" s="101" t="s">
        <v>208</v>
      </c>
      <c r="C413" s="46">
        <v>44347.607395833336</v>
      </c>
      <c r="D413" t="s">
        <v>147</v>
      </c>
      <c r="E413">
        <v>5.99</v>
      </c>
      <c r="F413" t="str">
        <f>VLOOKUP(A413*1,Table2[],5,TRUE)</f>
        <v>20:30:00</v>
      </c>
      <c r="G413" s="46" t="e">
        <f t="shared" si="12"/>
        <v>#VALUE!</v>
      </c>
      <c r="H413" t="e">
        <f t="shared" si="13"/>
        <v>#VALUE!</v>
      </c>
    </row>
    <row r="414" spans="1:8" x14ac:dyDescent="0.25">
      <c r="A414" t="s">
        <v>24</v>
      </c>
      <c r="B414" s="101" t="s">
        <v>208</v>
      </c>
      <c r="C414" s="46">
        <v>44347.607673611114</v>
      </c>
      <c r="D414" t="s">
        <v>146</v>
      </c>
      <c r="E414">
        <v>9.1</v>
      </c>
      <c r="F414" t="str">
        <f>VLOOKUP(A414*1,Table2[],5,TRUE)</f>
        <v>20:30:00</v>
      </c>
      <c r="G414" s="46" t="e">
        <f t="shared" si="12"/>
        <v>#VALUE!</v>
      </c>
      <c r="H414" t="e">
        <f t="shared" si="13"/>
        <v>#VALUE!</v>
      </c>
    </row>
    <row r="415" spans="1:8" x14ac:dyDescent="0.25">
      <c r="A415" t="s">
        <v>24</v>
      </c>
      <c r="B415" s="101" t="s">
        <v>208</v>
      </c>
      <c r="C415" s="46">
        <v>44347.607905092591</v>
      </c>
      <c r="D415" t="s">
        <v>146</v>
      </c>
      <c r="E415">
        <v>24.95</v>
      </c>
      <c r="F415" t="str">
        <f>VLOOKUP(A415*1,Table2[],5,TRUE)</f>
        <v>20:30:00</v>
      </c>
      <c r="G415" s="46" t="e">
        <f t="shared" si="12"/>
        <v>#VALUE!</v>
      </c>
      <c r="H415" t="e">
        <f t="shared" si="13"/>
        <v>#VALUE!</v>
      </c>
    </row>
    <row r="416" spans="1:8" x14ac:dyDescent="0.25">
      <c r="A416" t="s">
        <v>24</v>
      </c>
      <c r="B416" s="101" t="s">
        <v>217</v>
      </c>
      <c r="C416" s="46">
        <v>44347.60864583333</v>
      </c>
      <c r="D416" t="s">
        <v>148</v>
      </c>
      <c r="E416">
        <v>32.99</v>
      </c>
      <c r="F416" t="str">
        <f>VLOOKUP(A416*1,Table2[],5,TRUE)</f>
        <v>20:30:00</v>
      </c>
      <c r="G416" s="46" t="e">
        <f t="shared" si="12"/>
        <v>#VALUE!</v>
      </c>
      <c r="H416" t="e">
        <f t="shared" si="13"/>
        <v>#VALUE!</v>
      </c>
    </row>
    <row r="417" spans="1:8" x14ac:dyDescent="0.25">
      <c r="A417" t="s">
        <v>24</v>
      </c>
      <c r="B417" s="101" t="s">
        <v>217</v>
      </c>
      <c r="C417" s="46">
        <v>44347.609027777777</v>
      </c>
      <c r="D417" t="s">
        <v>147</v>
      </c>
      <c r="E417">
        <v>26.99</v>
      </c>
      <c r="F417" t="str">
        <f>VLOOKUP(A417*1,Table2[],5,TRUE)</f>
        <v>20:30:00</v>
      </c>
      <c r="G417" s="46" t="e">
        <f t="shared" si="12"/>
        <v>#VALUE!</v>
      </c>
      <c r="H417" t="e">
        <f t="shared" si="13"/>
        <v>#VALUE!</v>
      </c>
    </row>
    <row r="418" spans="1:8" x14ac:dyDescent="0.25">
      <c r="A418" t="s">
        <v>24</v>
      </c>
      <c r="B418" s="101" t="s">
        <v>217</v>
      </c>
      <c r="C418" s="46">
        <v>44347.609479166669</v>
      </c>
      <c r="D418" t="s">
        <v>146</v>
      </c>
      <c r="E418">
        <v>6</v>
      </c>
      <c r="F418" t="str">
        <f>VLOOKUP(A418*1,Table2[],5,TRUE)</f>
        <v>20:30:00</v>
      </c>
      <c r="G418" s="46" t="e">
        <f t="shared" si="12"/>
        <v>#VALUE!</v>
      </c>
      <c r="H418" t="e">
        <f t="shared" si="13"/>
        <v>#VALUE!</v>
      </c>
    </row>
    <row r="419" spans="1:8" x14ac:dyDescent="0.25">
      <c r="A419" t="s">
        <v>24</v>
      </c>
      <c r="B419" s="101" t="s">
        <v>208</v>
      </c>
      <c r="C419" s="46">
        <v>44347.609699074077</v>
      </c>
      <c r="D419" t="s">
        <v>147</v>
      </c>
      <c r="E419">
        <v>6.2</v>
      </c>
      <c r="F419" t="str">
        <f>VLOOKUP(A419*1,Table2[],5,TRUE)</f>
        <v>20:30:00</v>
      </c>
      <c r="G419" s="46" t="e">
        <f t="shared" si="12"/>
        <v>#VALUE!</v>
      </c>
      <c r="H419" t="e">
        <f t="shared" si="13"/>
        <v>#VALUE!</v>
      </c>
    </row>
    <row r="420" spans="1:8" x14ac:dyDescent="0.25">
      <c r="A420" t="s">
        <v>24</v>
      </c>
      <c r="B420" s="101" t="s">
        <v>208</v>
      </c>
      <c r="C420" s="46">
        <v>44347.610034722224</v>
      </c>
      <c r="D420" t="s">
        <v>147</v>
      </c>
      <c r="E420">
        <v>47.98</v>
      </c>
      <c r="F420" t="str">
        <f>VLOOKUP(A420*1,Table2[],5,TRUE)</f>
        <v>20:30:00</v>
      </c>
      <c r="G420" s="46" t="e">
        <f t="shared" si="12"/>
        <v>#VALUE!</v>
      </c>
      <c r="H420" t="e">
        <f t="shared" si="13"/>
        <v>#VALUE!</v>
      </c>
    </row>
    <row r="421" spans="1:8" x14ac:dyDescent="0.25">
      <c r="A421" t="s">
        <v>24</v>
      </c>
      <c r="B421" s="101" t="s">
        <v>217</v>
      </c>
      <c r="C421" s="46">
        <v>44347.610208333332</v>
      </c>
      <c r="D421" t="s">
        <v>148</v>
      </c>
      <c r="E421">
        <v>31.95</v>
      </c>
      <c r="F421" t="str">
        <f>VLOOKUP(A421*1,Table2[],5,TRUE)</f>
        <v>20:30:00</v>
      </c>
      <c r="G421" s="46" t="e">
        <f t="shared" si="12"/>
        <v>#VALUE!</v>
      </c>
      <c r="H421" t="e">
        <f t="shared" si="13"/>
        <v>#VALUE!</v>
      </c>
    </row>
    <row r="422" spans="1:8" x14ac:dyDescent="0.25">
      <c r="A422" t="s">
        <v>24</v>
      </c>
      <c r="B422" s="101" t="s">
        <v>208</v>
      </c>
      <c r="C422" s="46">
        <v>44347.612025462964</v>
      </c>
      <c r="D422" t="s">
        <v>147</v>
      </c>
      <c r="E422">
        <v>59.85</v>
      </c>
      <c r="F422" t="str">
        <f>VLOOKUP(A422*1,Table2[],5,TRUE)</f>
        <v>20:30:00</v>
      </c>
      <c r="G422" s="46" t="e">
        <f t="shared" si="12"/>
        <v>#VALUE!</v>
      </c>
      <c r="H422" t="e">
        <f t="shared" si="13"/>
        <v>#VALUE!</v>
      </c>
    </row>
    <row r="423" spans="1:8" x14ac:dyDescent="0.25">
      <c r="A423" t="s">
        <v>24</v>
      </c>
      <c r="B423" s="101" t="s">
        <v>217</v>
      </c>
      <c r="C423" s="46">
        <v>44347.612314814818</v>
      </c>
      <c r="D423" t="s">
        <v>148</v>
      </c>
      <c r="E423">
        <v>115.18</v>
      </c>
      <c r="F423" t="str">
        <f>VLOOKUP(A423*1,Table2[],5,TRUE)</f>
        <v>20:30:00</v>
      </c>
      <c r="G423" s="46" t="e">
        <f t="shared" si="12"/>
        <v>#VALUE!</v>
      </c>
      <c r="H423" t="e">
        <f t="shared" si="13"/>
        <v>#VALUE!</v>
      </c>
    </row>
    <row r="424" spans="1:8" x14ac:dyDescent="0.25">
      <c r="A424" t="s">
        <v>24</v>
      </c>
      <c r="B424" s="101" t="s">
        <v>208</v>
      </c>
      <c r="C424" s="46">
        <v>44347.612812500003</v>
      </c>
      <c r="D424" t="s">
        <v>147</v>
      </c>
      <c r="E424">
        <v>8.5</v>
      </c>
      <c r="F424" t="str">
        <f>VLOOKUP(A424*1,Table2[],5,TRUE)</f>
        <v>20:30:00</v>
      </c>
      <c r="G424" s="46" t="e">
        <f t="shared" si="12"/>
        <v>#VALUE!</v>
      </c>
      <c r="H424" t="e">
        <f t="shared" si="13"/>
        <v>#VALUE!</v>
      </c>
    </row>
    <row r="425" spans="1:8" x14ac:dyDescent="0.25">
      <c r="A425" t="s">
        <v>24</v>
      </c>
      <c r="B425" s="101" t="s">
        <v>217</v>
      </c>
      <c r="C425" s="46">
        <v>44347.612951388888</v>
      </c>
      <c r="D425" t="s">
        <v>148</v>
      </c>
      <c r="E425">
        <v>46.95</v>
      </c>
      <c r="F425" t="str">
        <f>VLOOKUP(A425*1,Table2[],5,TRUE)</f>
        <v>20:30:00</v>
      </c>
      <c r="G425" s="46" t="e">
        <f t="shared" si="12"/>
        <v>#VALUE!</v>
      </c>
      <c r="H425" t="e">
        <f t="shared" si="13"/>
        <v>#VALUE!</v>
      </c>
    </row>
    <row r="426" spans="1:8" x14ac:dyDescent="0.25">
      <c r="A426" t="s">
        <v>24</v>
      </c>
      <c r="B426" s="101" t="s">
        <v>208</v>
      </c>
      <c r="C426" s="46">
        <v>44347.613055555557</v>
      </c>
      <c r="D426" t="s">
        <v>147</v>
      </c>
      <c r="E426">
        <v>11.4</v>
      </c>
      <c r="F426" t="str">
        <f>VLOOKUP(A426*1,Table2[],5,TRUE)</f>
        <v>20:30:00</v>
      </c>
      <c r="G426" s="46" t="e">
        <f t="shared" si="12"/>
        <v>#VALUE!</v>
      </c>
      <c r="H426" t="e">
        <f t="shared" si="13"/>
        <v>#VALUE!</v>
      </c>
    </row>
    <row r="427" spans="1:8" x14ac:dyDescent="0.25">
      <c r="A427" t="s">
        <v>24</v>
      </c>
      <c r="B427" s="101" t="s">
        <v>217</v>
      </c>
      <c r="C427" s="46">
        <v>44347.613252314812</v>
      </c>
      <c r="D427" t="s">
        <v>146</v>
      </c>
      <c r="E427">
        <v>34.950000000000003</v>
      </c>
      <c r="F427" t="str">
        <f>VLOOKUP(A427*1,Table2[],5,TRUE)</f>
        <v>20:30:00</v>
      </c>
      <c r="G427" s="46" t="e">
        <f t="shared" si="12"/>
        <v>#VALUE!</v>
      </c>
      <c r="H427" t="e">
        <f t="shared" si="13"/>
        <v>#VALUE!</v>
      </c>
    </row>
    <row r="428" spans="1:8" x14ac:dyDescent="0.25">
      <c r="A428" t="s">
        <v>24</v>
      </c>
      <c r="B428" s="101" t="s">
        <v>208</v>
      </c>
      <c r="C428" s="46">
        <v>44347.613368055558</v>
      </c>
      <c r="D428" t="s">
        <v>146</v>
      </c>
      <c r="E428">
        <v>8.1999999999999993</v>
      </c>
      <c r="F428" t="str">
        <f>VLOOKUP(A428*1,Table2[],5,TRUE)</f>
        <v>20:30:00</v>
      </c>
      <c r="G428" s="46" t="e">
        <f t="shared" si="12"/>
        <v>#VALUE!</v>
      </c>
      <c r="H428" t="e">
        <f t="shared" si="13"/>
        <v>#VALUE!</v>
      </c>
    </row>
    <row r="429" spans="1:8" x14ac:dyDescent="0.25">
      <c r="A429" t="s">
        <v>24</v>
      </c>
      <c r="B429" s="101" t="s">
        <v>217</v>
      </c>
      <c r="C429" s="46">
        <v>44347.613668981481</v>
      </c>
      <c r="D429" t="s">
        <v>147</v>
      </c>
      <c r="E429">
        <v>3.2</v>
      </c>
      <c r="F429" t="str">
        <f>VLOOKUP(A429*1,Table2[],5,TRUE)</f>
        <v>20:30:00</v>
      </c>
      <c r="G429" s="46" t="e">
        <f t="shared" si="12"/>
        <v>#VALUE!</v>
      </c>
      <c r="H429" t="e">
        <f t="shared" si="13"/>
        <v>#VALUE!</v>
      </c>
    </row>
    <row r="430" spans="1:8" x14ac:dyDescent="0.25">
      <c r="A430" t="s">
        <v>24</v>
      </c>
      <c r="B430" s="101" t="s">
        <v>217</v>
      </c>
      <c r="C430" s="46">
        <v>44347.61613425926</v>
      </c>
      <c r="D430" t="s">
        <v>146</v>
      </c>
      <c r="E430">
        <v>7</v>
      </c>
      <c r="F430" t="str">
        <f>VLOOKUP(A430*1,Table2[],5,TRUE)</f>
        <v>20:30:00</v>
      </c>
      <c r="G430" s="46" t="e">
        <f t="shared" si="12"/>
        <v>#VALUE!</v>
      </c>
      <c r="H430" t="e">
        <f t="shared" si="13"/>
        <v>#VALUE!</v>
      </c>
    </row>
    <row r="431" spans="1:8" x14ac:dyDescent="0.25">
      <c r="A431" t="s">
        <v>24</v>
      </c>
      <c r="B431" s="101" t="s">
        <v>208</v>
      </c>
      <c r="C431" s="46">
        <v>44347.616331018522</v>
      </c>
      <c r="D431" t="s">
        <v>148</v>
      </c>
      <c r="E431">
        <v>3.1</v>
      </c>
      <c r="F431" t="str">
        <f>VLOOKUP(A431*1,Table2[],5,TRUE)</f>
        <v>20:30:00</v>
      </c>
      <c r="G431" s="46" t="e">
        <f t="shared" si="12"/>
        <v>#VALUE!</v>
      </c>
      <c r="H431" t="e">
        <f t="shared" si="13"/>
        <v>#VALUE!</v>
      </c>
    </row>
    <row r="432" spans="1:8" x14ac:dyDescent="0.25">
      <c r="A432" t="s">
        <v>24</v>
      </c>
      <c r="B432" s="101" t="s">
        <v>217</v>
      </c>
      <c r="C432" s="46">
        <v>44347.616435185184</v>
      </c>
      <c r="D432" t="s">
        <v>147</v>
      </c>
      <c r="E432">
        <v>16.2</v>
      </c>
      <c r="F432" t="str">
        <f>VLOOKUP(A432*1,Table2[],5,TRUE)</f>
        <v>20:30:00</v>
      </c>
      <c r="G432" s="46" t="e">
        <f t="shared" si="12"/>
        <v>#VALUE!</v>
      </c>
      <c r="H432" t="e">
        <f t="shared" si="13"/>
        <v>#VALUE!</v>
      </c>
    </row>
    <row r="433" spans="1:8" x14ac:dyDescent="0.25">
      <c r="A433" t="s">
        <v>24</v>
      </c>
      <c r="B433" s="101" t="s">
        <v>208</v>
      </c>
      <c r="C433" s="46">
        <v>44347.616851851853</v>
      </c>
      <c r="D433" t="s">
        <v>146</v>
      </c>
      <c r="E433">
        <v>58.13</v>
      </c>
      <c r="F433" t="str">
        <f>VLOOKUP(A433*1,Table2[],5,TRUE)</f>
        <v>20:30:00</v>
      </c>
      <c r="G433" s="46" t="e">
        <f t="shared" si="12"/>
        <v>#VALUE!</v>
      </c>
      <c r="H433" t="e">
        <f t="shared" si="13"/>
        <v>#VALUE!</v>
      </c>
    </row>
    <row r="434" spans="1:8" x14ac:dyDescent="0.25">
      <c r="A434" t="s">
        <v>24</v>
      </c>
      <c r="B434" s="101" t="s">
        <v>217</v>
      </c>
      <c r="C434" s="46">
        <v>44347.617025462961</v>
      </c>
      <c r="D434" t="s">
        <v>147</v>
      </c>
      <c r="E434">
        <v>30.14</v>
      </c>
      <c r="F434" t="str">
        <f>VLOOKUP(A434*1,Table2[],5,TRUE)</f>
        <v>20:30:00</v>
      </c>
      <c r="G434" s="46" t="e">
        <f t="shared" si="12"/>
        <v>#VALUE!</v>
      </c>
      <c r="H434" t="e">
        <f t="shared" si="13"/>
        <v>#VALUE!</v>
      </c>
    </row>
    <row r="435" spans="1:8" x14ac:dyDescent="0.25">
      <c r="A435" t="s">
        <v>24</v>
      </c>
      <c r="B435" s="101" t="s">
        <v>208</v>
      </c>
      <c r="C435" s="46">
        <v>44347.617476851854</v>
      </c>
      <c r="D435" t="s">
        <v>147</v>
      </c>
      <c r="E435">
        <v>5</v>
      </c>
      <c r="F435" t="str">
        <f>VLOOKUP(A435*1,Table2[],5,TRUE)</f>
        <v>20:30:00</v>
      </c>
      <c r="G435" s="46" t="e">
        <f t="shared" si="12"/>
        <v>#VALUE!</v>
      </c>
      <c r="H435" t="e">
        <f t="shared" si="13"/>
        <v>#VALUE!</v>
      </c>
    </row>
    <row r="436" spans="1:8" x14ac:dyDescent="0.25">
      <c r="A436" t="s">
        <v>24</v>
      </c>
      <c r="B436" s="101" t="s">
        <v>217</v>
      </c>
      <c r="C436" s="46">
        <v>44347.618391203701</v>
      </c>
      <c r="D436" t="s">
        <v>146</v>
      </c>
      <c r="E436">
        <v>5</v>
      </c>
      <c r="F436" t="str">
        <f>VLOOKUP(A436*1,Table2[],5,TRUE)</f>
        <v>20:30:00</v>
      </c>
      <c r="G436" s="46" t="e">
        <f t="shared" si="12"/>
        <v>#VALUE!</v>
      </c>
      <c r="H436" t="e">
        <f t="shared" si="13"/>
        <v>#VALUE!</v>
      </c>
    </row>
    <row r="437" spans="1:8" x14ac:dyDescent="0.25">
      <c r="A437" t="s">
        <v>24</v>
      </c>
      <c r="B437" s="101" t="s">
        <v>208</v>
      </c>
      <c r="C437" s="46">
        <v>44347.620243055557</v>
      </c>
      <c r="D437" t="s">
        <v>148</v>
      </c>
      <c r="E437">
        <v>25.14</v>
      </c>
      <c r="F437" t="str">
        <f>VLOOKUP(A437*1,Table2[],5,TRUE)</f>
        <v>20:30:00</v>
      </c>
      <c r="G437" s="46" t="e">
        <f t="shared" si="12"/>
        <v>#VALUE!</v>
      </c>
      <c r="H437" t="e">
        <f t="shared" si="13"/>
        <v>#VALUE!</v>
      </c>
    </row>
    <row r="438" spans="1:8" x14ac:dyDescent="0.25">
      <c r="A438" t="s">
        <v>24</v>
      </c>
      <c r="B438" s="101" t="s">
        <v>217</v>
      </c>
      <c r="C438" s="46">
        <v>44347.62158564815</v>
      </c>
      <c r="D438" t="s">
        <v>146</v>
      </c>
      <c r="E438">
        <v>9.99</v>
      </c>
      <c r="F438" t="str">
        <f>VLOOKUP(A438*1,Table2[],5,TRUE)</f>
        <v>20:30:00</v>
      </c>
      <c r="G438" s="46" t="e">
        <f t="shared" si="12"/>
        <v>#VALUE!</v>
      </c>
      <c r="H438" t="e">
        <f t="shared" si="13"/>
        <v>#VALUE!</v>
      </c>
    </row>
    <row r="439" spans="1:8" x14ac:dyDescent="0.25">
      <c r="A439" t="s">
        <v>24</v>
      </c>
      <c r="B439" s="101" t="s">
        <v>217</v>
      </c>
      <c r="C439" s="46">
        <v>44347.621840277781</v>
      </c>
      <c r="D439" t="s">
        <v>146</v>
      </c>
      <c r="E439">
        <v>5</v>
      </c>
      <c r="F439" t="str">
        <f>VLOOKUP(A439*1,Table2[],5,TRUE)</f>
        <v>20:30:00</v>
      </c>
      <c r="G439" s="46" t="e">
        <f t="shared" si="12"/>
        <v>#VALUE!</v>
      </c>
      <c r="H439" t="e">
        <f t="shared" si="13"/>
        <v>#VALUE!</v>
      </c>
    </row>
    <row r="440" spans="1:8" x14ac:dyDescent="0.25">
      <c r="A440" t="s">
        <v>24</v>
      </c>
      <c r="B440" s="101" t="s">
        <v>217</v>
      </c>
      <c r="C440" s="46">
        <v>44347.623761574076</v>
      </c>
      <c r="D440" t="s">
        <v>147</v>
      </c>
      <c r="E440">
        <v>11.6</v>
      </c>
      <c r="F440" t="str">
        <f>VLOOKUP(A440*1,Table2[],5,TRUE)</f>
        <v>20:30:00</v>
      </c>
      <c r="G440" s="46" t="e">
        <f t="shared" si="12"/>
        <v>#VALUE!</v>
      </c>
      <c r="H440" t="e">
        <f t="shared" si="13"/>
        <v>#VALUE!</v>
      </c>
    </row>
    <row r="441" spans="1:8" x14ac:dyDescent="0.25">
      <c r="A441" t="s">
        <v>24</v>
      </c>
      <c r="B441" s="101" t="s">
        <v>217</v>
      </c>
      <c r="C441" s="46">
        <v>44347.624120370368</v>
      </c>
      <c r="D441" t="s">
        <v>147</v>
      </c>
      <c r="E441">
        <v>2.2000000000000002</v>
      </c>
      <c r="F441" t="str">
        <f>VLOOKUP(A441*1,Table2[],5,TRUE)</f>
        <v>20:30:00</v>
      </c>
      <c r="G441" s="46" t="e">
        <f t="shared" si="12"/>
        <v>#VALUE!</v>
      </c>
      <c r="H441" t="e">
        <f t="shared" si="13"/>
        <v>#VALUE!</v>
      </c>
    </row>
    <row r="442" spans="1:8" x14ac:dyDescent="0.25">
      <c r="A442" t="s">
        <v>24</v>
      </c>
      <c r="B442" s="101" t="s">
        <v>217</v>
      </c>
      <c r="C442" s="46">
        <v>44347.624548611115</v>
      </c>
      <c r="D442" t="s">
        <v>146</v>
      </c>
      <c r="E442">
        <v>17.98</v>
      </c>
      <c r="F442" t="str">
        <f>VLOOKUP(A442*1,Table2[],5,TRUE)</f>
        <v>20:30:00</v>
      </c>
      <c r="G442" s="46" t="e">
        <f t="shared" si="12"/>
        <v>#VALUE!</v>
      </c>
      <c r="H442" t="e">
        <f t="shared" si="13"/>
        <v>#VALUE!</v>
      </c>
    </row>
    <row r="443" spans="1:8" x14ac:dyDescent="0.25">
      <c r="A443" t="s">
        <v>24</v>
      </c>
      <c r="B443" s="101" t="s">
        <v>217</v>
      </c>
      <c r="C443" s="46">
        <v>44347.624942129631</v>
      </c>
      <c r="D443" t="s">
        <v>147</v>
      </c>
      <c r="E443">
        <v>8.5</v>
      </c>
      <c r="F443" t="str">
        <f>VLOOKUP(A443*1,Table2[],5,TRUE)</f>
        <v>20:30:00</v>
      </c>
      <c r="G443" s="46" t="e">
        <f t="shared" si="12"/>
        <v>#VALUE!</v>
      </c>
      <c r="H443" t="e">
        <f t="shared" si="13"/>
        <v>#VALUE!</v>
      </c>
    </row>
    <row r="444" spans="1:8" x14ac:dyDescent="0.25">
      <c r="A444" t="s">
        <v>24</v>
      </c>
      <c r="B444" s="101" t="s">
        <v>217</v>
      </c>
      <c r="C444" s="46">
        <v>44347.625231481485</v>
      </c>
      <c r="D444" t="s">
        <v>147</v>
      </c>
      <c r="E444">
        <v>9.3000000000000007</v>
      </c>
      <c r="F444" t="str">
        <f>VLOOKUP(A444*1,Table2[],5,TRUE)</f>
        <v>20:30:00</v>
      </c>
      <c r="G444" s="46" t="e">
        <f t="shared" si="12"/>
        <v>#VALUE!</v>
      </c>
      <c r="H444" t="e">
        <f t="shared" si="13"/>
        <v>#VALUE!</v>
      </c>
    </row>
    <row r="445" spans="1:8" x14ac:dyDescent="0.25">
      <c r="A445" t="s">
        <v>24</v>
      </c>
      <c r="B445" s="101" t="s">
        <v>217</v>
      </c>
      <c r="C445" s="46">
        <v>44347.625810185185</v>
      </c>
      <c r="D445" t="s">
        <v>147</v>
      </c>
      <c r="E445">
        <v>6</v>
      </c>
      <c r="F445" t="str">
        <f>VLOOKUP(A445*1,Table2[],5,TRUE)</f>
        <v>20:30:00</v>
      </c>
      <c r="G445" s="46" t="e">
        <f t="shared" si="12"/>
        <v>#VALUE!</v>
      </c>
      <c r="H445" t="e">
        <f t="shared" si="13"/>
        <v>#VALUE!</v>
      </c>
    </row>
    <row r="446" spans="1:8" x14ac:dyDescent="0.25">
      <c r="A446" t="s">
        <v>24</v>
      </c>
      <c r="B446" s="101" t="s">
        <v>217</v>
      </c>
      <c r="C446" s="46">
        <v>44347.626377314817</v>
      </c>
      <c r="D446" t="s">
        <v>147</v>
      </c>
      <c r="E446">
        <v>27.99</v>
      </c>
      <c r="F446" t="str">
        <f>VLOOKUP(A446*1,Table2[],5,TRUE)</f>
        <v>20:30:00</v>
      </c>
      <c r="G446" s="46" t="e">
        <f t="shared" si="12"/>
        <v>#VALUE!</v>
      </c>
      <c r="H446" t="e">
        <f t="shared" si="13"/>
        <v>#VALUE!</v>
      </c>
    </row>
    <row r="447" spans="1:8" x14ac:dyDescent="0.25">
      <c r="A447" t="s">
        <v>24</v>
      </c>
      <c r="B447" s="101" t="s">
        <v>217</v>
      </c>
      <c r="C447" s="46">
        <v>44347.626759259256</v>
      </c>
      <c r="D447" t="s">
        <v>147</v>
      </c>
      <c r="E447">
        <v>32.17</v>
      </c>
      <c r="F447" t="str">
        <f>VLOOKUP(A447*1,Table2[],5,TRUE)</f>
        <v>20:30:00</v>
      </c>
      <c r="G447" s="46" t="e">
        <f t="shared" si="12"/>
        <v>#VALUE!</v>
      </c>
      <c r="H447" t="e">
        <f t="shared" si="13"/>
        <v>#VALUE!</v>
      </c>
    </row>
    <row r="448" spans="1:8" x14ac:dyDescent="0.25">
      <c r="A448" t="s">
        <v>24</v>
      </c>
      <c r="B448" s="101" t="s">
        <v>217</v>
      </c>
      <c r="C448" s="46">
        <v>44347.627314814818</v>
      </c>
      <c r="D448" t="s">
        <v>147</v>
      </c>
      <c r="E448">
        <v>10</v>
      </c>
      <c r="F448" t="str">
        <f>VLOOKUP(A448*1,Table2[],5,TRUE)</f>
        <v>20:30:00</v>
      </c>
      <c r="G448" s="46" t="e">
        <f t="shared" si="12"/>
        <v>#VALUE!</v>
      </c>
      <c r="H448" t="e">
        <f t="shared" si="13"/>
        <v>#VALUE!</v>
      </c>
    </row>
    <row r="449" spans="1:8" x14ac:dyDescent="0.25">
      <c r="A449" t="s">
        <v>24</v>
      </c>
      <c r="B449" s="101" t="s">
        <v>217</v>
      </c>
      <c r="C449" s="46">
        <v>44347.627604166664</v>
      </c>
      <c r="D449" t="s">
        <v>146</v>
      </c>
      <c r="E449">
        <v>16.98</v>
      </c>
      <c r="F449" t="str">
        <f>VLOOKUP(A449*1,Table2[],5,TRUE)</f>
        <v>20:30:00</v>
      </c>
      <c r="G449" s="46" t="e">
        <f t="shared" si="12"/>
        <v>#VALUE!</v>
      </c>
      <c r="H449" t="e">
        <f t="shared" si="13"/>
        <v>#VALUE!</v>
      </c>
    </row>
    <row r="450" spans="1:8" x14ac:dyDescent="0.25">
      <c r="A450" t="s">
        <v>24</v>
      </c>
      <c r="B450" s="101" t="s">
        <v>217</v>
      </c>
      <c r="C450" s="46">
        <v>44347.628472222219</v>
      </c>
      <c r="D450" t="s">
        <v>147</v>
      </c>
      <c r="E450">
        <v>10</v>
      </c>
      <c r="F450" t="str">
        <f>VLOOKUP(A450*1,Table2[],5,TRUE)</f>
        <v>20:30:00</v>
      </c>
      <c r="G450" s="46" t="e">
        <f t="shared" ref="G450:G513" si="14">DATEVALUE(TEXT($L$2-1,"DD/MM/YYYY"))+TIMEVALUE(TEXT(F450,"HH:MM:SS"))</f>
        <v>#VALUE!</v>
      </c>
      <c r="H450" t="e">
        <f t="shared" ref="H450:H513" si="15">IF(C450&lt;G450,"Before Bank Cut Off",IF(C450&gt;=DATEVALUE($L$2),"After Midnight","In Between"))</f>
        <v>#VALUE!</v>
      </c>
    </row>
    <row r="451" spans="1:8" x14ac:dyDescent="0.25">
      <c r="A451" t="s">
        <v>24</v>
      </c>
      <c r="B451" s="101" t="s">
        <v>217</v>
      </c>
      <c r="C451" s="46">
        <v>44347.628831018519</v>
      </c>
      <c r="D451" t="s">
        <v>147</v>
      </c>
      <c r="E451">
        <v>9.99</v>
      </c>
      <c r="F451" t="str">
        <f>VLOOKUP(A451*1,Table2[],5,TRUE)</f>
        <v>20:30:00</v>
      </c>
      <c r="G451" s="46" t="e">
        <f t="shared" si="14"/>
        <v>#VALUE!</v>
      </c>
      <c r="H451" t="e">
        <f t="shared" si="15"/>
        <v>#VALUE!</v>
      </c>
    </row>
    <row r="452" spans="1:8" x14ac:dyDescent="0.25">
      <c r="A452" t="s">
        <v>24</v>
      </c>
      <c r="B452" s="101" t="s">
        <v>217</v>
      </c>
      <c r="C452" s="46">
        <v>44347.62909722222</v>
      </c>
      <c r="D452" t="s">
        <v>146</v>
      </c>
      <c r="E452">
        <v>17.690000000000001</v>
      </c>
      <c r="F452" t="str">
        <f>VLOOKUP(A452*1,Table2[],5,TRUE)</f>
        <v>20:30:00</v>
      </c>
      <c r="G452" s="46" t="e">
        <f t="shared" si="14"/>
        <v>#VALUE!</v>
      </c>
      <c r="H452" t="e">
        <f t="shared" si="15"/>
        <v>#VALUE!</v>
      </c>
    </row>
    <row r="453" spans="1:8" x14ac:dyDescent="0.25">
      <c r="A453" t="s">
        <v>24</v>
      </c>
      <c r="B453" s="101" t="s">
        <v>217</v>
      </c>
      <c r="C453" s="46">
        <v>44347.629652777781</v>
      </c>
      <c r="D453" t="s">
        <v>146</v>
      </c>
      <c r="E453">
        <v>41.15</v>
      </c>
      <c r="F453" t="str">
        <f>VLOOKUP(A453*1,Table2[],5,TRUE)</f>
        <v>20:30:00</v>
      </c>
      <c r="G453" s="46" t="e">
        <f t="shared" si="14"/>
        <v>#VALUE!</v>
      </c>
      <c r="H453" t="e">
        <f t="shared" si="15"/>
        <v>#VALUE!</v>
      </c>
    </row>
    <row r="454" spans="1:8" x14ac:dyDescent="0.25">
      <c r="A454" t="s">
        <v>24</v>
      </c>
      <c r="B454" s="101" t="s">
        <v>217</v>
      </c>
      <c r="C454" s="46">
        <v>44347.630150462966</v>
      </c>
      <c r="D454" t="s">
        <v>147</v>
      </c>
      <c r="E454">
        <v>12.85</v>
      </c>
      <c r="F454" t="str">
        <f>VLOOKUP(A454*1,Table2[],5,TRUE)</f>
        <v>20:30:00</v>
      </c>
      <c r="G454" s="46" t="e">
        <f t="shared" si="14"/>
        <v>#VALUE!</v>
      </c>
      <c r="H454" t="e">
        <f t="shared" si="15"/>
        <v>#VALUE!</v>
      </c>
    </row>
    <row r="455" spans="1:8" x14ac:dyDescent="0.25">
      <c r="A455" t="s">
        <v>24</v>
      </c>
      <c r="B455" s="101" t="s">
        <v>217</v>
      </c>
      <c r="C455" s="46">
        <v>44347.630358796298</v>
      </c>
      <c r="D455" t="s">
        <v>147</v>
      </c>
      <c r="E455">
        <v>4.2</v>
      </c>
      <c r="F455" t="str">
        <f>VLOOKUP(A455*1,Table2[],5,TRUE)</f>
        <v>20:30:00</v>
      </c>
      <c r="G455" s="46" t="e">
        <f t="shared" si="14"/>
        <v>#VALUE!</v>
      </c>
      <c r="H455" t="e">
        <f t="shared" si="15"/>
        <v>#VALUE!</v>
      </c>
    </row>
    <row r="456" spans="1:8" x14ac:dyDescent="0.25">
      <c r="A456" t="s">
        <v>24</v>
      </c>
      <c r="B456" s="101" t="s">
        <v>217</v>
      </c>
      <c r="C456" s="46">
        <v>44347.630601851852</v>
      </c>
      <c r="D456" t="s">
        <v>146</v>
      </c>
      <c r="E456">
        <v>29.49</v>
      </c>
      <c r="F456" t="str">
        <f>VLOOKUP(A456*1,Table2[],5,TRUE)</f>
        <v>20:30:00</v>
      </c>
      <c r="G456" s="46" t="e">
        <f t="shared" si="14"/>
        <v>#VALUE!</v>
      </c>
      <c r="H456" t="e">
        <f t="shared" si="15"/>
        <v>#VALUE!</v>
      </c>
    </row>
    <row r="457" spans="1:8" x14ac:dyDescent="0.25">
      <c r="A457" t="s">
        <v>24</v>
      </c>
      <c r="B457" s="101" t="s">
        <v>217</v>
      </c>
      <c r="C457" s="46">
        <v>44347.630798611113</v>
      </c>
      <c r="D457" t="s">
        <v>146</v>
      </c>
      <c r="E457">
        <v>7.99</v>
      </c>
      <c r="F457" t="str">
        <f>VLOOKUP(A457*1,Table2[],5,TRUE)</f>
        <v>20:30:00</v>
      </c>
      <c r="G457" s="46" t="e">
        <f t="shared" si="14"/>
        <v>#VALUE!</v>
      </c>
      <c r="H457" t="e">
        <f t="shared" si="15"/>
        <v>#VALUE!</v>
      </c>
    </row>
    <row r="458" spans="1:8" x14ac:dyDescent="0.25">
      <c r="A458" t="s">
        <v>24</v>
      </c>
      <c r="B458" s="101" t="s">
        <v>217</v>
      </c>
      <c r="C458" s="46">
        <v>44347.631041666667</v>
      </c>
      <c r="D458" t="s">
        <v>147</v>
      </c>
      <c r="E458">
        <v>6.5</v>
      </c>
      <c r="F458" t="str">
        <f>VLOOKUP(A458*1,Table2[],5,TRUE)</f>
        <v>20:30:00</v>
      </c>
      <c r="G458" s="46" t="e">
        <f t="shared" si="14"/>
        <v>#VALUE!</v>
      </c>
      <c r="H458" t="e">
        <f t="shared" si="15"/>
        <v>#VALUE!</v>
      </c>
    </row>
    <row r="459" spans="1:8" x14ac:dyDescent="0.25">
      <c r="A459" t="s">
        <v>24</v>
      </c>
      <c r="B459" s="101" t="s">
        <v>217</v>
      </c>
      <c r="C459" s="46">
        <v>44347.631574074076</v>
      </c>
      <c r="D459" t="s">
        <v>147</v>
      </c>
      <c r="E459">
        <v>4.95</v>
      </c>
      <c r="F459" t="str">
        <f>VLOOKUP(A459*1,Table2[],5,TRUE)</f>
        <v>20:30:00</v>
      </c>
      <c r="G459" s="46" t="e">
        <f t="shared" si="14"/>
        <v>#VALUE!</v>
      </c>
      <c r="H459" t="e">
        <f t="shared" si="15"/>
        <v>#VALUE!</v>
      </c>
    </row>
    <row r="460" spans="1:8" x14ac:dyDescent="0.25">
      <c r="A460" t="s">
        <v>24</v>
      </c>
      <c r="B460" s="101" t="s">
        <v>217</v>
      </c>
      <c r="C460" s="46">
        <v>44347.631805555553</v>
      </c>
      <c r="D460" t="s">
        <v>147</v>
      </c>
      <c r="E460">
        <v>14.79</v>
      </c>
      <c r="F460" t="str">
        <f>VLOOKUP(A460*1,Table2[],5,TRUE)</f>
        <v>20:30:00</v>
      </c>
      <c r="G460" s="46" t="e">
        <f t="shared" si="14"/>
        <v>#VALUE!</v>
      </c>
      <c r="H460" t="e">
        <f t="shared" si="15"/>
        <v>#VALUE!</v>
      </c>
    </row>
    <row r="461" spans="1:8" x14ac:dyDescent="0.25">
      <c r="A461" t="s">
        <v>24</v>
      </c>
      <c r="B461" s="101" t="s">
        <v>217</v>
      </c>
      <c r="C461" s="46">
        <v>44347.632326388892</v>
      </c>
      <c r="D461" t="s">
        <v>146</v>
      </c>
      <c r="E461">
        <v>17.600000000000001</v>
      </c>
      <c r="F461" t="str">
        <f>VLOOKUP(A461*1,Table2[],5,TRUE)</f>
        <v>20:30:00</v>
      </c>
      <c r="G461" s="46" t="e">
        <f t="shared" si="14"/>
        <v>#VALUE!</v>
      </c>
      <c r="H461" t="e">
        <f t="shared" si="15"/>
        <v>#VALUE!</v>
      </c>
    </row>
    <row r="462" spans="1:8" x14ac:dyDescent="0.25">
      <c r="A462" t="s">
        <v>24</v>
      </c>
      <c r="B462" s="101" t="s">
        <v>217</v>
      </c>
      <c r="C462" s="46">
        <v>44347.6325462963</v>
      </c>
      <c r="D462" t="s">
        <v>147</v>
      </c>
      <c r="E462">
        <v>5</v>
      </c>
      <c r="F462" t="str">
        <f>VLOOKUP(A462*1,Table2[],5,TRUE)</f>
        <v>20:30:00</v>
      </c>
      <c r="G462" s="46" t="e">
        <f t="shared" si="14"/>
        <v>#VALUE!</v>
      </c>
      <c r="H462" t="e">
        <f t="shared" si="15"/>
        <v>#VALUE!</v>
      </c>
    </row>
    <row r="463" spans="1:8" x14ac:dyDescent="0.25">
      <c r="A463" t="s">
        <v>24</v>
      </c>
      <c r="B463" s="101" t="s">
        <v>217</v>
      </c>
      <c r="C463" s="46">
        <v>44347.632731481484</v>
      </c>
      <c r="D463" t="s">
        <v>148</v>
      </c>
      <c r="E463">
        <v>5.2</v>
      </c>
      <c r="F463" t="str">
        <f>VLOOKUP(A463*1,Table2[],5,TRUE)</f>
        <v>20:30:00</v>
      </c>
      <c r="G463" s="46" t="e">
        <f t="shared" si="14"/>
        <v>#VALUE!</v>
      </c>
      <c r="H463" t="e">
        <f t="shared" si="15"/>
        <v>#VALUE!</v>
      </c>
    </row>
    <row r="464" spans="1:8" x14ac:dyDescent="0.25">
      <c r="A464" t="s">
        <v>24</v>
      </c>
      <c r="B464" s="101" t="s">
        <v>217</v>
      </c>
      <c r="C464" s="46">
        <v>44347.632939814815</v>
      </c>
      <c r="D464" t="s">
        <v>147</v>
      </c>
      <c r="E464">
        <v>7</v>
      </c>
      <c r="F464" t="str">
        <f>VLOOKUP(A464*1,Table2[],5,TRUE)</f>
        <v>20:30:00</v>
      </c>
      <c r="G464" s="46" t="e">
        <f t="shared" si="14"/>
        <v>#VALUE!</v>
      </c>
      <c r="H464" t="e">
        <f t="shared" si="15"/>
        <v>#VALUE!</v>
      </c>
    </row>
    <row r="465" spans="1:8" x14ac:dyDescent="0.25">
      <c r="A465" t="s">
        <v>24</v>
      </c>
      <c r="B465" s="101" t="s">
        <v>217</v>
      </c>
      <c r="C465" s="46">
        <v>44347.633194444446</v>
      </c>
      <c r="D465" t="s">
        <v>147</v>
      </c>
      <c r="E465">
        <v>18.600000000000001</v>
      </c>
      <c r="F465" t="str">
        <f>VLOOKUP(A465*1,Table2[],5,TRUE)</f>
        <v>20:30:00</v>
      </c>
      <c r="G465" s="46" t="e">
        <f t="shared" si="14"/>
        <v>#VALUE!</v>
      </c>
      <c r="H465" t="e">
        <f t="shared" si="15"/>
        <v>#VALUE!</v>
      </c>
    </row>
    <row r="466" spans="1:8" x14ac:dyDescent="0.25">
      <c r="A466" t="s">
        <v>24</v>
      </c>
      <c r="B466" s="101" t="s">
        <v>217</v>
      </c>
      <c r="C466" s="46">
        <v>44347.633773148147</v>
      </c>
      <c r="D466" t="s">
        <v>147</v>
      </c>
      <c r="E466">
        <v>68.11</v>
      </c>
      <c r="F466" t="str">
        <f>VLOOKUP(A466*1,Table2[],5,TRUE)</f>
        <v>20:30:00</v>
      </c>
      <c r="G466" s="46" t="e">
        <f t="shared" si="14"/>
        <v>#VALUE!</v>
      </c>
      <c r="H466" t="e">
        <f t="shared" si="15"/>
        <v>#VALUE!</v>
      </c>
    </row>
    <row r="467" spans="1:8" x14ac:dyDescent="0.25">
      <c r="A467" t="s">
        <v>24</v>
      </c>
      <c r="B467" s="101" t="s">
        <v>217</v>
      </c>
      <c r="C467" s="46">
        <v>44347.634074074071</v>
      </c>
      <c r="D467" t="s">
        <v>147</v>
      </c>
      <c r="E467">
        <v>14.99</v>
      </c>
      <c r="F467" t="str">
        <f>VLOOKUP(A467*1,Table2[],5,TRUE)</f>
        <v>20:30:00</v>
      </c>
      <c r="G467" s="46" t="e">
        <f t="shared" si="14"/>
        <v>#VALUE!</v>
      </c>
      <c r="H467" t="e">
        <f t="shared" si="15"/>
        <v>#VALUE!</v>
      </c>
    </row>
    <row r="468" spans="1:8" x14ac:dyDescent="0.25">
      <c r="A468" t="s">
        <v>24</v>
      </c>
      <c r="B468" s="101" t="s">
        <v>217</v>
      </c>
      <c r="C468" s="46">
        <v>44347.634317129632</v>
      </c>
      <c r="D468" t="s">
        <v>146</v>
      </c>
      <c r="E468">
        <v>14.1</v>
      </c>
      <c r="F468" t="str">
        <f>VLOOKUP(A468*1,Table2[],5,TRUE)</f>
        <v>20:30:00</v>
      </c>
      <c r="G468" s="46" t="e">
        <f t="shared" si="14"/>
        <v>#VALUE!</v>
      </c>
      <c r="H468" t="e">
        <f t="shared" si="15"/>
        <v>#VALUE!</v>
      </c>
    </row>
    <row r="469" spans="1:8" x14ac:dyDescent="0.25">
      <c r="A469" t="s">
        <v>24</v>
      </c>
      <c r="B469" s="101" t="s">
        <v>217</v>
      </c>
      <c r="C469" s="46">
        <v>44347.63484953704</v>
      </c>
      <c r="D469" t="s">
        <v>146</v>
      </c>
      <c r="E469">
        <v>27.5</v>
      </c>
      <c r="F469" t="str">
        <f>VLOOKUP(A469*1,Table2[],5,TRUE)</f>
        <v>20:30:00</v>
      </c>
      <c r="G469" s="46" t="e">
        <f t="shared" si="14"/>
        <v>#VALUE!</v>
      </c>
      <c r="H469" t="e">
        <f t="shared" si="15"/>
        <v>#VALUE!</v>
      </c>
    </row>
    <row r="470" spans="1:8" x14ac:dyDescent="0.25">
      <c r="A470" t="s">
        <v>24</v>
      </c>
      <c r="B470" s="101" t="s">
        <v>217</v>
      </c>
      <c r="C470" s="46">
        <v>44347.635798611111</v>
      </c>
      <c r="D470" t="s">
        <v>146</v>
      </c>
      <c r="E470">
        <v>8.69</v>
      </c>
      <c r="F470" t="str">
        <f>VLOOKUP(A470*1,Table2[],5,TRUE)</f>
        <v>20:30:00</v>
      </c>
      <c r="G470" s="46" t="e">
        <f t="shared" si="14"/>
        <v>#VALUE!</v>
      </c>
      <c r="H470" t="e">
        <f t="shared" si="15"/>
        <v>#VALUE!</v>
      </c>
    </row>
    <row r="471" spans="1:8" x14ac:dyDescent="0.25">
      <c r="A471" t="s">
        <v>24</v>
      </c>
      <c r="B471" s="101" t="s">
        <v>217</v>
      </c>
      <c r="C471" s="46">
        <v>44347.637118055558</v>
      </c>
      <c r="D471" t="s">
        <v>146</v>
      </c>
      <c r="E471">
        <v>11.2</v>
      </c>
      <c r="F471" t="str">
        <f>VLOOKUP(A471*1,Table2[],5,TRUE)</f>
        <v>20:30:00</v>
      </c>
      <c r="G471" s="46" t="e">
        <f t="shared" si="14"/>
        <v>#VALUE!</v>
      </c>
      <c r="H471" t="e">
        <f t="shared" si="15"/>
        <v>#VALUE!</v>
      </c>
    </row>
    <row r="472" spans="1:8" x14ac:dyDescent="0.25">
      <c r="A472" t="s">
        <v>24</v>
      </c>
      <c r="B472" s="101" t="s">
        <v>217</v>
      </c>
      <c r="C472" s="46">
        <v>44347.637384259258</v>
      </c>
      <c r="D472" t="s">
        <v>147</v>
      </c>
      <c r="E472">
        <v>5</v>
      </c>
      <c r="F472" t="str">
        <f>VLOOKUP(A472*1,Table2[],5,TRUE)</f>
        <v>20:30:00</v>
      </c>
      <c r="G472" s="46" t="e">
        <f t="shared" si="14"/>
        <v>#VALUE!</v>
      </c>
      <c r="H472" t="e">
        <f t="shared" si="15"/>
        <v>#VALUE!</v>
      </c>
    </row>
    <row r="473" spans="1:8" x14ac:dyDescent="0.25">
      <c r="A473" t="s">
        <v>24</v>
      </c>
      <c r="B473" s="101" t="s">
        <v>217</v>
      </c>
      <c r="C473" s="46">
        <v>44347.638425925928</v>
      </c>
      <c r="D473" t="s">
        <v>147</v>
      </c>
      <c r="E473">
        <v>15.75</v>
      </c>
      <c r="F473" t="str">
        <f>VLOOKUP(A473*1,Table2[],5,TRUE)</f>
        <v>20:30:00</v>
      </c>
      <c r="G473" s="46" t="e">
        <f t="shared" si="14"/>
        <v>#VALUE!</v>
      </c>
      <c r="H473" t="e">
        <f t="shared" si="15"/>
        <v>#VALUE!</v>
      </c>
    </row>
    <row r="474" spans="1:8" x14ac:dyDescent="0.25">
      <c r="A474" t="s">
        <v>24</v>
      </c>
      <c r="B474" s="101" t="s">
        <v>217</v>
      </c>
      <c r="C474" s="46">
        <v>44347.638888888891</v>
      </c>
      <c r="D474" t="s">
        <v>147</v>
      </c>
      <c r="E474">
        <v>10.99</v>
      </c>
      <c r="F474" t="str">
        <f>VLOOKUP(A474*1,Table2[],5,TRUE)</f>
        <v>20:30:00</v>
      </c>
      <c r="G474" s="46" t="e">
        <f t="shared" si="14"/>
        <v>#VALUE!</v>
      </c>
      <c r="H474" t="e">
        <f t="shared" si="15"/>
        <v>#VALUE!</v>
      </c>
    </row>
    <row r="475" spans="1:8" x14ac:dyDescent="0.25">
      <c r="A475" t="s">
        <v>24</v>
      </c>
      <c r="B475" s="101" t="s">
        <v>217</v>
      </c>
      <c r="C475" s="46">
        <v>44347.639247685183</v>
      </c>
      <c r="D475" t="s">
        <v>146</v>
      </c>
      <c r="E475">
        <v>15.2</v>
      </c>
      <c r="F475" t="str">
        <f>VLOOKUP(A475*1,Table2[],5,TRUE)</f>
        <v>20:30:00</v>
      </c>
      <c r="G475" s="46" t="e">
        <f t="shared" si="14"/>
        <v>#VALUE!</v>
      </c>
      <c r="H475" t="e">
        <f t="shared" si="15"/>
        <v>#VALUE!</v>
      </c>
    </row>
    <row r="476" spans="1:8" x14ac:dyDescent="0.25">
      <c r="A476" t="s">
        <v>24</v>
      </c>
      <c r="B476" s="101" t="s">
        <v>217</v>
      </c>
      <c r="C476" s="46">
        <v>44347.640185185184</v>
      </c>
      <c r="D476" t="s">
        <v>148</v>
      </c>
      <c r="E476">
        <v>30</v>
      </c>
      <c r="F476" t="str">
        <f>VLOOKUP(A476*1,Table2[],5,TRUE)</f>
        <v>20:30:00</v>
      </c>
      <c r="G476" s="46" t="e">
        <f t="shared" si="14"/>
        <v>#VALUE!</v>
      </c>
      <c r="H476" t="e">
        <f t="shared" si="15"/>
        <v>#VALUE!</v>
      </c>
    </row>
    <row r="477" spans="1:8" x14ac:dyDescent="0.25">
      <c r="A477" t="s">
        <v>24</v>
      </c>
      <c r="B477" s="101" t="s">
        <v>217</v>
      </c>
      <c r="C477" s="46">
        <v>44347.640821759262</v>
      </c>
      <c r="D477" t="s">
        <v>146</v>
      </c>
      <c r="E477">
        <v>4.5</v>
      </c>
      <c r="F477" t="str">
        <f>VLOOKUP(A477*1,Table2[],5,TRUE)</f>
        <v>20:30:00</v>
      </c>
      <c r="G477" s="46" t="e">
        <f t="shared" si="14"/>
        <v>#VALUE!</v>
      </c>
      <c r="H477" t="e">
        <f t="shared" si="15"/>
        <v>#VALUE!</v>
      </c>
    </row>
    <row r="478" spans="1:8" x14ac:dyDescent="0.25">
      <c r="A478" t="s">
        <v>24</v>
      </c>
      <c r="B478" s="101" t="s">
        <v>217</v>
      </c>
      <c r="C478" s="46">
        <v>44347.641203703701</v>
      </c>
      <c r="D478" t="s">
        <v>146</v>
      </c>
      <c r="E478">
        <v>14.6</v>
      </c>
      <c r="F478" t="str">
        <f>VLOOKUP(A478*1,Table2[],5,TRUE)</f>
        <v>20:30:00</v>
      </c>
      <c r="G478" s="46" t="e">
        <f t="shared" si="14"/>
        <v>#VALUE!</v>
      </c>
      <c r="H478" t="e">
        <f t="shared" si="15"/>
        <v>#VALUE!</v>
      </c>
    </row>
    <row r="479" spans="1:8" x14ac:dyDescent="0.25">
      <c r="A479" t="s">
        <v>24</v>
      </c>
      <c r="B479" s="101" t="s">
        <v>217</v>
      </c>
      <c r="C479" s="46">
        <v>44347.64162037037</v>
      </c>
      <c r="D479" t="s">
        <v>147</v>
      </c>
      <c r="E479">
        <v>7</v>
      </c>
      <c r="F479" t="str">
        <f>VLOOKUP(A479*1,Table2[],5,TRUE)</f>
        <v>20:30:00</v>
      </c>
      <c r="G479" s="46" t="e">
        <f t="shared" si="14"/>
        <v>#VALUE!</v>
      </c>
      <c r="H479" t="e">
        <f t="shared" si="15"/>
        <v>#VALUE!</v>
      </c>
    </row>
    <row r="480" spans="1:8" x14ac:dyDescent="0.25">
      <c r="A480" t="s">
        <v>24</v>
      </c>
      <c r="B480" s="101" t="s">
        <v>217</v>
      </c>
      <c r="C480" s="46">
        <v>44347.642476851855</v>
      </c>
      <c r="D480" t="s">
        <v>147</v>
      </c>
      <c r="E480">
        <v>98.88</v>
      </c>
      <c r="F480" t="str">
        <f>VLOOKUP(A480*1,Table2[],5,TRUE)</f>
        <v>20:30:00</v>
      </c>
      <c r="G480" s="46" t="e">
        <f t="shared" si="14"/>
        <v>#VALUE!</v>
      </c>
      <c r="H480" t="e">
        <f t="shared" si="15"/>
        <v>#VALUE!</v>
      </c>
    </row>
    <row r="481" spans="1:8" x14ac:dyDescent="0.25">
      <c r="A481" t="s">
        <v>24</v>
      </c>
      <c r="B481" s="101" t="s">
        <v>217</v>
      </c>
      <c r="C481" s="46">
        <v>44347.642743055556</v>
      </c>
      <c r="D481" t="s">
        <v>146</v>
      </c>
      <c r="E481">
        <v>29.99</v>
      </c>
      <c r="F481" t="str">
        <f>VLOOKUP(A481*1,Table2[],5,TRUE)</f>
        <v>20:30:00</v>
      </c>
      <c r="G481" s="46" t="e">
        <f t="shared" si="14"/>
        <v>#VALUE!</v>
      </c>
      <c r="H481" t="e">
        <f t="shared" si="15"/>
        <v>#VALUE!</v>
      </c>
    </row>
    <row r="482" spans="1:8" x14ac:dyDescent="0.25">
      <c r="A482" t="s">
        <v>24</v>
      </c>
      <c r="B482" s="101" t="s">
        <v>217</v>
      </c>
      <c r="C482" s="46">
        <v>44347.64335648148</v>
      </c>
      <c r="D482" t="s">
        <v>146</v>
      </c>
      <c r="E482">
        <v>4.2</v>
      </c>
      <c r="F482" t="str">
        <f>VLOOKUP(A482*1,Table2[],5,TRUE)</f>
        <v>20:30:00</v>
      </c>
      <c r="G482" s="46" t="e">
        <f t="shared" si="14"/>
        <v>#VALUE!</v>
      </c>
      <c r="H482" t="e">
        <f t="shared" si="15"/>
        <v>#VALUE!</v>
      </c>
    </row>
    <row r="483" spans="1:8" x14ac:dyDescent="0.25">
      <c r="A483" t="s">
        <v>24</v>
      </c>
      <c r="B483" s="101" t="s">
        <v>217</v>
      </c>
      <c r="C483" s="46">
        <v>44347.643645833334</v>
      </c>
      <c r="D483" t="s">
        <v>147</v>
      </c>
      <c r="E483">
        <v>8</v>
      </c>
      <c r="F483" t="str">
        <f>VLOOKUP(A483*1,Table2[],5,TRUE)</f>
        <v>20:30:00</v>
      </c>
      <c r="G483" s="46" t="e">
        <f t="shared" si="14"/>
        <v>#VALUE!</v>
      </c>
      <c r="H483" t="e">
        <f t="shared" si="15"/>
        <v>#VALUE!</v>
      </c>
    </row>
    <row r="484" spans="1:8" x14ac:dyDescent="0.25">
      <c r="A484" t="s">
        <v>24</v>
      </c>
      <c r="B484" s="101" t="s">
        <v>217</v>
      </c>
      <c r="C484" s="46">
        <v>44347.644270833334</v>
      </c>
      <c r="D484" t="s">
        <v>147</v>
      </c>
      <c r="E484">
        <v>4.5999999999999996</v>
      </c>
      <c r="F484" t="str">
        <f>VLOOKUP(A484*1,Table2[],5,TRUE)</f>
        <v>20:30:00</v>
      </c>
      <c r="G484" s="46" t="e">
        <f t="shared" si="14"/>
        <v>#VALUE!</v>
      </c>
      <c r="H484" t="e">
        <f t="shared" si="15"/>
        <v>#VALUE!</v>
      </c>
    </row>
    <row r="485" spans="1:8" x14ac:dyDescent="0.25">
      <c r="A485" t="s">
        <v>24</v>
      </c>
      <c r="B485" s="101" t="s">
        <v>208</v>
      </c>
      <c r="C485" s="46">
        <v>44347.645891203705</v>
      </c>
      <c r="D485" t="s">
        <v>146</v>
      </c>
      <c r="E485">
        <v>19.95</v>
      </c>
      <c r="F485" t="str">
        <f>VLOOKUP(A485*1,Table2[],5,TRUE)</f>
        <v>20:30:00</v>
      </c>
      <c r="G485" s="46" t="e">
        <f t="shared" si="14"/>
        <v>#VALUE!</v>
      </c>
      <c r="H485" t="e">
        <f t="shared" si="15"/>
        <v>#VALUE!</v>
      </c>
    </row>
    <row r="486" spans="1:8" x14ac:dyDescent="0.25">
      <c r="A486" t="s">
        <v>24</v>
      </c>
      <c r="B486" s="101" t="s">
        <v>208</v>
      </c>
      <c r="C486" s="46">
        <v>44347.646273148152</v>
      </c>
      <c r="D486" t="s">
        <v>147</v>
      </c>
      <c r="E486">
        <v>9.4</v>
      </c>
      <c r="F486" t="str">
        <f>VLOOKUP(A486*1,Table2[],5,TRUE)</f>
        <v>20:30:00</v>
      </c>
      <c r="G486" s="46" t="e">
        <f t="shared" si="14"/>
        <v>#VALUE!</v>
      </c>
      <c r="H486" t="e">
        <f t="shared" si="15"/>
        <v>#VALUE!</v>
      </c>
    </row>
    <row r="487" spans="1:8" x14ac:dyDescent="0.25">
      <c r="A487" t="s">
        <v>24</v>
      </c>
      <c r="B487" s="101" t="s">
        <v>208</v>
      </c>
      <c r="C487" s="46">
        <v>44347.646874999999</v>
      </c>
      <c r="D487" t="s">
        <v>146</v>
      </c>
      <c r="E487">
        <v>2.6</v>
      </c>
      <c r="F487" t="str">
        <f>VLOOKUP(A487*1,Table2[],5,TRUE)</f>
        <v>20:30:00</v>
      </c>
      <c r="G487" s="46" t="e">
        <f t="shared" si="14"/>
        <v>#VALUE!</v>
      </c>
      <c r="H487" t="e">
        <f t="shared" si="15"/>
        <v>#VALUE!</v>
      </c>
    </row>
    <row r="488" spans="1:8" x14ac:dyDescent="0.25">
      <c r="A488" t="s">
        <v>24</v>
      </c>
      <c r="B488" s="101" t="s">
        <v>208</v>
      </c>
      <c r="C488" s="46">
        <v>44347.64739583333</v>
      </c>
      <c r="D488" t="s">
        <v>147</v>
      </c>
      <c r="E488">
        <v>11.99</v>
      </c>
      <c r="F488" t="str">
        <f>VLOOKUP(A488*1,Table2[],5,TRUE)</f>
        <v>20:30:00</v>
      </c>
      <c r="G488" s="46" t="e">
        <f t="shared" si="14"/>
        <v>#VALUE!</v>
      </c>
      <c r="H488" t="e">
        <f t="shared" si="15"/>
        <v>#VALUE!</v>
      </c>
    </row>
    <row r="489" spans="1:8" x14ac:dyDescent="0.25">
      <c r="A489" t="s">
        <v>24</v>
      </c>
      <c r="B489" s="101" t="s">
        <v>208</v>
      </c>
      <c r="C489" s="46">
        <v>44347.647835648146</v>
      </c>
      <c r="D489" t="s">
        <v>146</v>
      </c>
      <c r="E489">
        <v>11.09</v>
      </c>
      <c r="F489" t="str">
        <f>VLOOKUP(A489*1,Table2[],5,TRUE)</f>
        <v>20:30:00</v>
      </c>
      <c r="G489" s="46" t="e">
        <f t="shared" si="14"/>
        <v>#VALUE!</v>
      </c>
      <c r="H489" t="e">
        <f t="shared" si="15"/>
        <v>#VALUE!</v>
      </c>
    </row>
    <row r="490" spans="1:8" x14ac:dyDescent="0.25">
      <c r="A490" t="s">
        <v>24</v>
      </c>
      <c r="B490" s="101" t="s">
        <v>217</v>
      </c>
      <c r="C490" s="46">
        <v>44347.648148148146</v>
      </c>
      <c r="D490" t="s">
        <v>147</v>
      </c>
      <c r="E490">
        <v>22.15</v>
      </c>
      <c r="F490" t="str">
        <f>VLOOKUP(A490*1,Table2[],5,TRUE)</f>
        <v>20:30:00</v>
      </c>
      <c r="G490" s="46" t="e">
        <f t="shared" si="14"/>
        <v>#VALUE!</v>
      </c>
      <c r="H490" t="e">
        <f t="shared" si="15"/>
        <v>#VALUE!</v>
      </c>
    </row>
    <row r="491" spans="1:8" x14ac:dyDescent="0.25">
      <c r="A491" t="s">
        <v>24</v>
      </c>
      <c r="B491" s="101" t="s">
        <v>208</v>
      </c>
      <c r="C491" s="46">
        <v>44347.648275462961</v>
      </c>
      <c r="D491" t="s">
        <v>146</v>
      </c>
      <c r="E491">
        <v>16.989999999999998</v>
      </c>
      <c r="F491" t="str">
        <f>VLOOKUP(A491*1,Table2[],5,TRUE)</f>
        <v>20:30:00</v>
      </c>
      <c r="G491" s="46" t="e">
        <f t="shared" si="14"/>
        <v>#VALUE!</v>
      </c>
      <c r="H491" t="e">
        <f t="shared" si="15"/>
        <v>#VALUE!</v>
      </c>
    </row>
    <row r="492" spans="1:8" x14ac:dyDescent="0.25">
      <c r="A492" t="s">
        <v>24</v>
      </c>
      <c r="B492" s="101" t="s">
        <v>217</v>
      </c>
      <c r="C492" s="46">
        <v>44347.649398148147</v>
      </c>
      <c r="D492" t="s">
        <v>147</v>
      </c>
      <c r="E492">
        <v>7.8</v>
      </c>
      <c r="F492" t="str">
        <f>VLOOKUP(A492*1,Table2[],5,TRUE)</f>
        <v>20:30:00</v>
      </c>
      <c r="G492" s="46" t="e">
        <f t="shared" si="14"/>
        <v>#VALUE!</v>
      </c>
      <c r="H492" t="e">
        <f t="shared" si="15"/>
        <v>#VALUE!</v>
      </c>
    </row>
    <row r="493" spans="1:8" x14ac:dyDescent="0.25">
      <c r="A493" t="s">
        <v>24</v>
      </c>
      <c r="B493" s="101" t="s">
        <v>208</v>
      </c>
      <c r="C493" s="46">
        <v>44347.649780092594</v>
      </c>
      <c r="E493">
        <v>0</v>
      </c>
      <c r="F493" t="str">
        <f>VLOOKUP(A493*1,Table2[],5,TRUE)</f>
        <v>20:30:00</v>
      </c>
      <c r="G493" s="46" t="e">
        <f t="shared" si="14"/>
        <v>#VALUE!</v>
      </c>
      <c r="H493" t="e">
        <f t="shared" si="15"/>
        <v>#VALUE!</v>
      </c>
    </row>
    <row r="494" spans="1:8" x14ac:dyDescent="0.25">
      <c r="A494" t="s">
        <v>24</v>
      </c>
      <c r="B494" s="101" t="s">
        <v>217</v>
      </c>
      <c r="C494" s="46">
        <v>44347.649861111109</v>
      </c>
      <c r="D494" t="s">
        <v>147</v>
      </c>
      <c r="E494">
        <v>10.4</v>
      </c>
      <c r="F494" t="str">
        <f>VLOOKUP(A494*1,Table2[],5,TRUE)</f>
        <v>20:30:00</v>
      </c>
      <c r="G494" s="46" t="e">
        <f t="shared" si="14"/>
        <v>#VALUE!</v>
      </c>
      <c r="H494" t="e">
        <f t="shared" si="15"/>
        <v>#VALUE!</v>
      </c>
    </row>
    <row r="495" spans="1:8" x14ac:dyDescent="0.25">
      <c r="A495" t="s">
        <v>24</v>
      </c>
      <c r="B495" s="101" t="s">
        <v>217</v>
      </c>
      <c r="C495" s="46">
        <v>44347.650949074072</v>
      </c>
      <c r="D495" t="s">
        <v>148</v>
      </c>
      <c r="E495">
        <v>67.790000000000006</v>
      </c>
      <c r="F495" t="str">
        <f>VLOOKUP(A495*1,Table2[],5,TRUE)</f>
        <v>20:30:00</v>
      </c>
      <c r="G495" s="46" t="e">
        <f t="shared" si="14"/>
        <v>#VALUE!</v>
      </c>
      <c r="H495" t="e">
        <f t="shared" si="15"/>
        <v>#VALUE!</v>
      </c>
    </row>
    <row r="496" spans="1:8" x14ac:dyDescent="0.25">
      <c r="A496" t="s">
        <v>24</v>
      </c>
      <c r="B496" s="101" t="s">
        <v>208</v>
      </c>
      <c r="C496" s="46">
        <v>44347.651122685187</v>
      </c>
      <c r="D496" t="s">
        <v>148</v>
      </c>
      <c r="E496">
        <v>7.8</v>
      </c>
      <c r="F496" t="str">
        <f>VLOOKUP(A496*1,Table2[],5,TRUE)</f>
        <v>20:30:00</v>
      </c>
      <c r="G496" s="46" t="e">
        <f t="shared" si="14"/>
        <v>#VALUE!</v>
      </c>
      <c r="H496" t="e">
        <f t="shared" si="15"/>
        <v>#VALUE!</v>
      </c>
    </row>
    <row r="497" spans="1:8" x14ac:dyDescent="0.25">
      <c r="A497" t="s">
        <v>24</v>
      </c>
      <c r="B497" s="101" t="s">
        <v>217</v>
      </c>
      <c r="C497" s="46">
        <v>44347.651250000003</v>
      </c>
      <c r="D497" t="s">
        <v>147</v>
      </c>
      <c r="E497">
        <v>8</v>
      </c>
      <c r="F497" t="str">
        <f>VLOOKUP(A497*1,Table2[],5,TRUE)</f>
        <v>20:30:00</v>
      </c>
      <c r="G497" s="46" t="e">
        <f t="shared" si="14"/>
        <v>#VALUE!</v>
      </c>
      <c r="H497" t="e">
        <f t="shared" si="15"/>
        <v>#VALUE!</v>
      </c>
    </row>
    <row r="498" spans="1:8" x14ac:dyDescent="0.25">
      <c r="A498" t="s">
        <v>24</v>
      </c>
      <c r="B498" s="101" t="s">
        <v>208</v>
      </c>
      <c r="C498" s="46">
        <v>44347.651354166665</v>
      </c>
      <c r="D498" t="s">
        <v>146</v>
      </c>
      <c r="E498">
        <v>6.2</v>
      </c>
      <c r="F498" t="str">
        <f>VLOOKUP(A498*1,Table2[],5,TRUE)</f>
        <v>20:30:00</v>
      </c>
      <c r="G498" s="46" t="e">
        <f t="shared" si="14"/>
        <v>#VALUE!</v>
      </c>
      <c r="H498" t="e">
        <f t="shared" si="15"/>
        <v>#VALUE!</v>
      </c>
    </row>
    <row r="499" spans="1:8" x14ac:dyDescent="0.25">
      <c r="A499" t="s">
        <v>24</v>
      </c>
      <c r="B499" s="101" t="s">
        <v>208</v>
      </c>
      <c r="C499" s="46">
        <v>44347.651724537034</v>
      </c>
      <c r="D499" t="s">
        <v>146</v>
      </c>
      <c r="E499">
        <v>5</v>
      </c>
      <c r="F499" t="str">
        <f>VLOOKUP(A499*1,Table2[],5,TRUE)</f>
        <v>20:30:00</v>
      </c>
      <c r="G499" s="46" t="e">
        <f t="shared" si="14"/>
        <v>#VALUE!</v>
      </c>
      <c r="H499" t="e">
        <f t="shared" si="15"/>
        <v>#VALUE!</v>
      </c>
    </row>
    <row r="500" spans="1:8" x14ac:dyDescent="0.25">
      <c r="A500" t="s">
        <v>24</v>
      </c>
      <c r="B500" s="101" t="s">
        <v>217</v>
      </c>
      <c r="C500" s="46">
        <v>44347.65216435185</v>
      </c>
      <c r="D500" t="s">
        <v>146</v>
      </c>
      <c r="E500">
        <v>3.6</v>
      </c>
      <c r="F500" t="str">
        <f>VLOOKUP(A500*1,Table2[],5,TRUE)</f>
        <v>20:30:00</v>
      </c>
      <c r="G500" s="46" t="e">
        <f t="shared" si="14"/>
        <v>#VALUE!</v>
      </c>
      <c r="H500" t="e">
        <f t="shared" si="15"/>
        <v>#VALUE!</v>
      </c>
    </row>
    <row r="501" spans="1:8" x14ac:dyDescent="0.25">
      <c r="A501" t="s">
        <v>24</v>
      </c>
      <c r="B501" s="101" t="s">
        <v>208</v>
      </c>
      <c r="C501" s="46">
        <v>44347.652511574073</v>
      </c>
      <c r="D501" t="s">
        <v>146</v>
      </c>
      <c r="E501">
        <v>15.6</v>
      </c>
      <c r="F501" t="str">
        <f>VLOOKUP(A501*1,Table2[],5,TRUE)</f>
        <v>20:30:00</v>
      </c>
      <c r="G501" s="46" t="e">
        <f t="shared" si="14"/>
        <v>#VALUE!</v>
      </c>
      <c r="H501" t="e">
        <f t="shared" si="15"/>
        <v>#VALUE!</v>
      </c>
    </row>
    <row r="502" spans="1:8" x14ac:dyDescent="0.25">
      <c r="A502" t="s">
        <v>24</v>
      </c>
      <c r="B502" s="101" t="s">
        <v>208</v>
      </c>
      <c r="C502" s="46">
        <v>44347.652986111112</v>
      </c>
      <c r="D502" t="s">
        <v>147</v>
      </c>
      <c r="E502">
        <v>13</v>
      </c>
      <c r="F502" t="str">
        <f>VLOOKUP(A502*1,Table2[],5,TRUE)</f>
        <v>20:30:00</v>
      </c>
      <c r="G502" s="46" t="e">
        <f t="shared" si="14"/>
        <v>#VALUE!</v>
      </c>
      <c r="H502" t="e">
        <f t="shared" si="15"/>
        <v>#VALUE!</v>
      </c>
    </row>
    <row r="503" spans="1:8" x14ac:dyDescent="0.25">
      <c r="A503" t="s">
        <v>24</v>
      </c>
      <c r="B503" s="101" t="s">
        <v>217</v>
      </c>
      <c r="C503" s="46">
        <v>44347.653020833335</v>
      </c>
      <c r="D503" t="s">
        <v>148</v>
      </c>
      <c r="E503">
        <v>32.99</v>
      </c>
      <c r="F503" t="str">
        <f>VLOOKUP(A503*1,Table2[],5,TRUE)</f>
        <v>20:30:00</v>
      </c>
      <c r="G503" s="46" t="e">
        <f t="shared" si="14"/>
        <v>#VALUE!</v>
      </c>
      <c r="H503" t="e">
        <f t="shared" si="15"/>
        <v>#VALUE!</v>
      </c>
    </row>
    <row r="504" spans="1:8" x14ac:dyDescent="0.25">
      <c r="A504" t="s">
        <v>24</v>
      </c>
      <c r="B504" s="101" t="s">
        <v>208</v>
      </c>
      <c r="C504" s="46">
        <v>44347.653622685182</v>
      </c>
      <c r="D504" t="s">
        <v>147</v>
      </c>
      <c r="E504">
        <v>8.6999999999999993</v>
      </c>
      <c r="F504" t="str">
        <f>VLOOKUP(A504*1,Table2[],5,TRUE)</f>
        <v>20:30:00</v>
      </c>
      <c r="G504" s="46" t="e">
        <f t="shared" si="14"/>
        <v>#VALUE!</v>
      </c>
      <c r="H504" t="e">
        <f t="shared" si="15"/>
        <v>#VALUE!</v>
      </c>
    </row>
    <row r="505" spans="1:8" x14ac:dyDescent="0.25">
      <c r="A505" t="s">
        <v>24</v>
      </c>
      <c r="B505" s="101" t="s">
        <v>217</v>
      </c>
      <c r="C505" s="46">
        <v>44347.65420138889</v>
      </c>
      <c r="D505" t="s">
        <v>147</v>
      </c>
      <c r="E505">
        <v>44.29</v>
      </c>
      <c r="F505" t="str">
        <f>VLOOKUP(A505*1,Table2[],5,TRUE)</f>
        <v>20:30:00</v>
      </c>
      <c r="G505" s="46" t="e">
        <f t="shared" si="14"/>
        <v>#VALUE!</v>
      </c>
      <c r="H505" t="e">
        <f t="shared" si="15"/>
        <v>#VALUE!</v>
      </c>
    </row>
    <row r="506" spans="1:8" x14ac:dyDescent="0.25">
      <c r="A506" t="s">
        <v>24</v>
      </c>
      <c r="B506" s="101" t="s">
        <v>208</v>
      </c>
      <c r="C506" s="46">
        <v>44347.654629629629</v>
      </c>
      <c r="D506" t="s">
        <v>147</v>
      </c>
      <c r="E506">
        <v>5.2</v>
      </c>
      <c r="F506" t="str">
        <f>VLOOKUP(A506*1,Table2[],5,TRUE)</f>
        <v>20:30:00</v>
      </c>
      <c r="G506" s="46" t="e">
        <f t="shared" si="14"/>
        <v>#VALUE!</v>
      </c>
      <c r="H506" t="e">
        <f t="shared" si="15"/>
        <v>#VALUE!</v>
      </c>
    </row>
    <row r="507" spans="1:8" x14ac:dyDescent="0.25">
      <c r="A507" t="s">
        <v>24</v>
      </c>
      <c r="B507" s="101" t="s">
        <v>217</v>
      </c>
      <c r="C507" s="46">
        <v>44347.655949074076</v>
      </c>
      <c r="D507" t="s">
        <v>148</v>
      </c>
      <c r="E507">
        <v>79.7</v>
      </c>
      <c r="F507" t="str">
        <f>VLOOKUP(A507*1,Table2[],5,TRUE)</f>
        <v>20:30:00</v>
      </c>
      <c r="G507" s="46" t="e">
        <f t="shared" si="14"/>
        <v>#VALUE!</v>
      </c>
      <c r="H507" t="e">
        <f t="shared" si="15"/>
        <v>#VALUE!</v>
      </c>
    </row>
    <row r="508" spans="1:8" x14ac:dyDescent="0.25">
      <c r="A508" t="s">
        <v>24</v>
      </c>
      <c r="B508" s="101" t="s">
        <v>217</v>
      </c>
      <c r="C508" s="46">
        <v>44347.657638888886</v>
      </c>
      <c r="D508" t="s">
        <v>147</v>
      </c>
      <c r="E508">
        <v>10.6</v>
      </c>
      <c r="F508" t="str">
        <f>VLOOKUP(A508*1,Table2[],5,TRUE)</f>
        <v>20:30:00</v>
      </c>
      <c r="G508" s="46" t="e">
        <f t="shared" si="14"/>
        <v>#VALUE!</v>
      </c>
      <c r="H508" t="e">
        <f t="shared" si="15"/>
        <v>#VALUE!</v>
      </c>
    </row>
    <row r="509" spans="1:8" x14ac:dyDescent="0.25">
      <c r="A509" t="s">
        <v>24</v>
      </c>
      <c r="B509" s="101" t="s">
        <v>217</v>
      </c>
      <c r="C509" s="46">
        <v>44347.65828703704</v>
      </c>
      <c r="D509" t="s">
        <v>148</v>
      </c>
      <c r="E509">
        <v>32.99</v>
      </c>
      <c r="F509" t="str">
        <f>VLOOKUP(A509*1,Table2[],5,TRUE)</f>
        <v>20:30:00</v>
      </c>
      <c r="G509" s="46" t="e">
        <f t="shared" si="14"/>
        <v>#VALUE!</v>
      </c>
      <c r="H509" t="e">
        <f t="shared" si="15"/>
        <v>#VALUE!</v>
      </c>
    </row>
    <row r="510" spans="1:8" x14ac:dyDescent="0.25">
      <c r="A510" t="s">
        <v>24</v>
      </c>
      <c r="B510" s="101" t="s">
        <v>208</v>
      </c>
      <c r="C510" s="46">
        <v>44347.658773148149</v>
      </c>
      <c r="D510" t="s">
        <v>147</v>
      </c>
      <c r="E510">
        <v>12.3</v>
      </c>
      <c r="F510" t="str">
        <f>VLOOKUP(A510*1,Table2[],5,TRUE)</f>
        <v>20:30:00</v>
      </c>
      <c r="G510" s="46" t="e">
        <f t="shared" si="14"/>
        <v>#VALUE!</v>
      </c>
      <c r="H510" t="e">
        <f t="shared" si="15"/>
        <v>#VALUE!</v>
      </c>
    </row>
    <row r="511" spans="1:8" x14ac:dyDescent="0.25">
      <c r="A511" t="s">
        <v>24</v>
      </c>
      <c r="B511" s="101" t="s">
        <v>217</v>
      </c>
      <c r="C511" s="46">
        <v>44347.659884259258</v>
      </c>
      <c r="D511" t="s">
        <v>147</v>
      </c>
      <c r="E511">
        <v>26.1</v>
      </c>
      <c r="F511" t="str">
        <f>VLOOKUP(A511*1,Table2[],5,TRUE)</f>
        <v>20:30:00</v>
      </c>
      <c r="G511" s="46" t="e">
        <f t="shared" si="14"/>
        <v>#VALUE!</v>
      </c>
      <c r="H511" t="e">
        <f t="shared" si="15"/>
        <v>#VALUE!</v>
      </c>
    </row>
    <row r="512" spans="1:8" x14ac:dyDescent="0.25">
      <c r="A512" t="s">
        <v>24</v>
      </c>
      <c r="B512" s="101" t="s">
        <v>217</v>
      </c>
      <c r="C512" s="46">
        <v>44347.66034722222</v>
      </c>
      <c r="D512" t="s">
        <v>147</v>
      </c>
      <c r="E512">
        <v>10.94</v>
      </c>
      <c r="F512" t="str">
        <f>VLOOKUP(A512*1,Table2[],5,TRUE)</f>
        <v>20:30:00</v>
      </c>
      <c r="G512" s="46" t="e">
        <f t="shared" si="14"/>
        <v>#VALUE!</v>
      </c>
      <c r="H512" t="e">
        <f t="shared" si="15"/>
        <v>#VALUE!</v>
      </c>
    </row>
    <row r="513" spans="1:8" x14ac:dyDescent="0.25">
      <c r="A513" t="s">
        <v>24</v>
      </c>
      <c r="B513" s="101" t="s">
        <v>217</v>
      </c>
      <c r="C513" s="46">
        <v>44347.660682870373</v>
      </c>
      <c r="D513" t="s">
        <v>146</v>
      </c>
      <c r="E513">
        <v>10</v>
      </c>
      <c r="F513" t="str">
        <f>VLOOKUP(A513*1,Table2[],5,TRUE)</f>
        <v>20:30:00</v>
      </c>
      <c r="G513" s="46" t="e">
        <f t="shared" si="14"/>
        <v>#VALUE!</v>
      </c>
      <c r="H513" t="e">
        <f t="shared" si="15"/>
        <v>#VALUE!</v>
      </c>
    </row>
    <row r="514" spans="1:8" x14ac:dyDescent="0.25">
      <c r="A514" t="s">
        <v>24</v>
      </c>
      <c r="B514" s="101" t="s">
        <v>217</v>
      </c>
      <c r="C514" s="46">
        <v>44347.660983796297</v>
      </c>
      <c r="D514" t="s">
        <v>146</v>
      </c>
      <c r="E514">
        <v>6.2</v>
      </c>
      <c r="F514" t="str">
        <f>VLOOKUP(A514*1,Table2[],5,TRUE)</f>
        <v>20:30:00</v>
      </c>
      <c r="G514" s="46" t="e">
        <f t="shared" ref="G514:G577" si="16">DATEVALUE(TEXT($L$2-1,"DD/MM/YYYY"))+TIMEVALUE(TEXT(F514,"HH:MM:SS"))</f>
        <v>#VALUE!</v>
      </c>
      <c r="H514" t="e">
        <f t="shared" ref="H514:H577" si="17">IF(C514&lt;G514,"Before Bank Cut Off",IF(C514&gt;=DATEVALUE($L$2),"After Midnight","In Between"))</f>
        <v>#VALUE!</v>
      </c>
    </row>
    <row r="515" spans="1:8" x14ac:dyDescent="0.25">
      <c r="A515" t="s">
        <v>24</v>
      </c>
      <c r="B515" s="101" t="s">
        <v>217</v>
      </c>
      <c r="C515" s="46">
        <v>44347.662754629629</v>
      </c>
      <c r="D515" t="s">
        <v>147</v>
      </c>
      <c r="E515">
        <v>4</v>
      </c>
      <c r="F515" t="str">
        <f>VLOOKUP(A515*1,Table2[],5,TRUE)</f>
        <v>20:30:00</v>
      </c>
      <c r="G515" s="46" t="e">
        <f t="shared" si="16"/>
        <v>#VALUE!</v>
      </c>
      <c r="H515" t="e">
        <f t="shared" si="17"/>
        <v>#VALUE!</v>
      </c>
    </row>
    <row r="516" spans="1:8" x14ac:dyDescent="0.25">
      <c r="A516" t="s">
        <v>24</v>
      </c>
      <c r="B516" s="101" t="s">
        <v>208</v>
      </c>
      <c r="C516" s="46">
        <v>44347.663124999999</v>
      </c>
      <c r="D516" t="s">
        <v>147</v>
      </c>
      <c r="E516">
        <v>99.95</v>
      </c>
      <c r="F516" t="str">
        <f>VLOOKUP(A516*1,Table2[],5,TRUE)</f>
        <v>20:30:00</v>
      </c>
      <c r="G516" s="46" t="e">
        <f t="shared" si="16"/>
        <v>#VALUE!</v>
      </c>
      <c r="H516" t="e">
        <f t="shared" si="17"/>
        <v>#VALUE!</v>
      </c>
    </row>
    <row r="517" spans="1:8" x14ac:dyDescent="0.25">
      <c r="A517" t="s">
        <v>24</v>
      </c>
      <c r="B517" s="101" t="s">
        <v>217</v>
      </c>
      <c r="C517" s="46">
        <v>44347.663194444445</v>
      </c>
      <c r="D517" t="s">
        <v>146</v>
      </c>
      <c r="E517">
        <v>4.2</v>
      </c>
      <c r="F517" t="str">
        <f>VLOOKUP(A517*1,Table2[],5,TRUE)</f>
        <v>20:30:00</v>
      </c>
      <c r="G517" s="46" t="e">
        <f t="shared" si="16"/>
        <v>#VALUE!</v>
      </c>
      <c r="H517" t="e">
        <f t="shared" si="17"/>
        <v>#VALUE!</v>
      </c>
    </row>
    <row r="518" spans="1:8" x14ac:dyDescent="0.25">
      <c r="A518" t="s">
        <v>24</v>
      </c>
      <c r="B518" s="101" t="s">
        <v>217</v>
      </c>
      <c r="C518" s="46">
        <v>44347.663495370369</v>
      </c>
      <c r="D518" t="s">
        <v>147</v>
      </c>
      <c r="E518">
        <v>16.989999999999998</v>
      </c>
      <c r="F518" t="str">
        <f>VLOOKUP(A518*1,Table2[],5,TRUE)</f>
        <v>20:30:00</v>
      </c>
      <c r="G518" s="46" t="e">
        <f t="shared" si="16"/>
        <v>#VALUE!</v>
      </c>
      <c r="H518" t="e">
        <f t="shared" si="17"/>
        <v>#VALUE!</v>
      </c>
    </row>
    <row r="519" spans="1:8" x14ac:dyDescent="0.25">
      <c r="A519" t="s">
        <v>24</v>
      </c>
      <c r="B519" s="101" t="s">
        <v>208</v>
      </c>
      <c r="C519" s="46">
        <v>44347.663495370369</v>
      </c>
      <c r="D519" t="s">
        <v>147</v>
      </c>
      <c r="E519">
        <v>34.99</v>
      </c>
      <c r="F519" t="str">
        <f>VLOOKUP(A519*1,Table2[],5,TRUE)</f>
        <v>20:30:00</v>
      </c>
      <c r="G519" s="46" t="e">
        <f t="shared" si="16"/>
        <v>#VALUE!</v>
      </c>
      <c r="H519" t="e">
        <f t="shared" si="17"/>
        <v>#VALUE!</v>
      </c>
    </row>
    <row r="520" spans="1:8" x14ac:dyDescent="0.25">
      <c r="A520" t="s">
        <v>24</v>
      </c>
      <c r="B520" s="101" t="s">
        <v>217</v>
      </c>
      <c r="C520" s="46">
        <v>44347.663738425923</v>
      </c>
      <c r="D520" t="s">
        <v>146</v>
      </c>
      <c r="E520">
        <v>14.95</v>
      </c>
      <c r="F520" t="str">
        <f>VLOOKUP(A520*1,Table2[],5,TRUE)</f>
        <v>20:30:00</v>
      </c>
      <c r="G520" s="46" t="e">
        <f t="shared" si="16"/>
        <v>#VALUE!</v>
      </c>
      <c r="H520" t="e">
        <f t="shared" si="17"/>
        <v>#VALUE!</v>
      </c>
    </row>
    <row r="521" spans="1:8" x14ac:dyDescent="0.25">
      <c r="A521" t="s">
        <v>24</v>
      </c>
      <c r="B521" s="101" t="s">
        <v>217</v>
      </c>
      <c r="C521" s="46">
        <v>44347.663900462961</v>
      </c>
      <c r="D521" t="s">
        <v>147</v>
      </c>
      <c r="E521">
        <v>5</v>
      </c>
      <c r="F521" t="str">
        <f>VLOOKUP(A521*1,Table2[],5,TRUE)</f>
        <v>20:30:00</v>
      </c>
      <c r="G521" s="46" t="e">
        <f t="shared" si="16"/>
        <v>#VALUE!</v>
      </c>
      <c r="H521" t="e">
        <f t="shared" si="17"/>
        <v>#VALUE!</v>
      </c>
    </row>
    <row r="522" spans="1:8" x14ac:dyDescent="0.25">
      <c r="A522" t="s">
        <v>24</v>
      </c>
      <c r="B522" s="101" t="s">
        <v>208</v>
      </c>
      <c r="C522" s="46">
        <v>44347.664178240739</v>
      </c>
      <c r="D522" t="s">
        <v>147</v>
      </c>
      <c r="E522">
        <v>68.33</v>
      </c>
      <c r="F522" t="str">
        <f>VLOOKUP(A522*1,Table2[],5,TRUE)</f>
        <v>20:30:00</v>
      </c>
      <c r="G522" s="46" t="e">
        <f t="shared" si="16"/>
        <v>#VALUE!</v>
      </c>
      <c r="H522" t="e">
        <f t="shared" si="17"/>
        <v>#VALUE!</v>
      </c>
    </row>
    <row r="523" spans="1:8" x14ac:dyDescent="0.25">
      <c r="A523" t="s">
        <v>24</v>
      </c>
      <c r="B523" s="101" t="s">
        <v>217</v>
      </c>
      <c r="C523" s="46">
        <v>44347.664270833331</v>
      </c>
      <c r="D523" t="s">
        <v>148</v>
      </c>
      <c r="E523">
        <v>19.989999999999998</v>
      </c>
      <c r="F523" t="str">
        <f>VLOOKUP(A523*1,Table2[],5,TRUE)</f>
        <v>20:30:00</v>
      </c>
      <c r="G523" s="46" t="e">
        <f t="shared" si="16"/>
        <v>#VALUE!</v>
      </c>
      <c r="H523" t="e">
        <f t="shared" si="17"/>
        <v>#VALUE!</v>
      </c>
    </row>
    <row r="524" spans="1:8" x14ac:dyDescent="0.25">
      <c r="A524" t="s">
        <v>24</v>
      </c>
      <c r="B524" s="101" t="s">
        <v>208</v>
      </c>
      <c r="C524" s="46">
        <v>44347.664641203701</v>
      </c>
      <c r="D524" t="s">
        <v>146</v>
      </c>
      <c r="E524">
        <v>6.2</v>
      </c>
      <c r="F524" t="str">
        <f>VLOOKUP(A524*1,Table2[],5,TRUE)</f>
        <v>20:30:00</v>
      </c>
      <c r="G524" s="46" t="e">
        <f t="shared" si="16"/>
        <v>#VALUE!</v>
      </c>
      <c r="H524" t="e">
        <f t="shared" si="17"/>
        <v>#VALUE!</v>
      </c>
    </row>
    <row r="525" spans="1:8" x14ac:dyDescent="0.25">
      <c r="A525" t="s">
        <v>24</v>
      </c>
      <c r="B525" s="101" t="s">
        <v>217</v>
      </c>
      <c r="C525" s="46">
        <v>44347.664756944447</v>
      </c>
      <c r="D525" t="s">
        <v>148</v>
      </c>
      <c r="E525">
        <v>30.54</v>
      </c>
      <c r="F525" t="str">
        <f>VLOOKUP(A525*1,Table2[],5,TRUE)</f>
        <v>20:30:00</v>
      </c>
      <c r="G525" s="46" t="e">
        <f t="shared" si="16"/>
        <v>#VALUE!</v>
      </c>
      <c r="H525" t="e">
        <f t="shared" si="17"/>
        <v>#VALUE!</v>
      </c>
    </row>
    <row r="526" spans="1:8" x14ac:dyDescent="0.25">
      <c r="A526" t="s">
        <v>24</v>
      </c>
      <c r="B526" s="101" t="s">
        <v>208</v>
      </c>
      <c r="C526" s="46">
        <v>44347.665416666663</v>
      </c>
      <c r="D526" t="s">
        <v>147</v>
      </c>
      <c r="E526">
        <v>4</v>
      </c>
      <c r="F526" t="str">
        <f>VLOOKUP(A526*1,Table2[],5,TRUE)</f>
        <v>20:30:00</v>
      </c>
      <c r="G526" s="46" t="e">
        <f t="shared" si="16"/>
        <v>#VALUE!</v>
      </c>
      <c r="H526" t="e">
        <f t="shared" si="17"/>
        <v>#VALUE!</v>
      </c>
    </row>
    <row r="527" spans="1:8" x14ac:dyDescent="0.25">
      <c r="A527" t="s">
        <v>24</v>
      </c>
      <c r="B527" s="101" t="s">
        <v>217</v>
      </c>
      <c r="C527" s="46">
        <v>44347.665601851855</v>
      </c>
      <c r="D527" t="s">
        <v>146</v>
      </c>
      <c r="E527">
        <v>5</v>
      </c>
      <c r="F527" t="str">
        <f>VLOOKUP(A527*1,Table2[],5,TRUE)</f>
        <v>20:30:00</v>
      </c>
      <c r="G527" s="46" t="e">
        <f t="shared" si="16"/>
        <v>#VALUE!</v>
      </c>
      <c r="H527" t="e">
        <f t="shared" si="17"/>
        <v>#VALUE!</v>
      </c>
    </row>
    <row r="528" spans="1:8" x14ac:dyDescent="0.25">
      <c r="A528" t="s">
        <v>24</v>
      </c>
      <c r="B528" s="101" t="s">
        <v>208</v>
      </c>
      <c r="C528" s="46">
        <v>44347.666226851848</v>
      </c>
      <c r="D528" t="s">
        <v>147</v>
      </c>
      <c r="E528">
        <v>13.5</v>
      </c>
      <c r="F528" t="str">
        <f>VLOOKUP(A528*1,Table2[],5,TRUE)</f>
        <v>20:30:00</v>
      </c>
      <c r="G528" s="46" t="e">
        <f t="shared" si="16"/>
        <v>#VALUE!</v>
      </c>
      <c r="H528" t="e">
        <f t="shared" si="17"/>
        <v>#VALUE!</v>
      </c>
    </row>
    <row r="529" spans="1:8" x14ac:dyDescent="0.25">
      <c r="A529" t="s">
        <v>24</v>
      </c>
      <c r="B529" s="101" t="s">
        <v>217</v>
      </c>
      <c r="C529" s="46">
        <v>44347.666655092595</v>
      </c>
      <c r="D529" t="s">
        <v>146</v>
      </c>
      <c r="E529">
        <v>24.99</v>
      </c>
      <c r="F529" t="str">
        <f>VLOOKUP(A529*1,Table2[],5,TRUE)</f>
        <v>20:30:00</v>
      </c>
      <c r="G529" s="46" t="e">
        <f t="shared" si="16"/>
        <v>#VALUE!</v>
      </c>
      <c r="H529" t="e">
        <f t="shared" si="17"/>
        <v>#VALUE!</v>
      </c>
    </row>
    <row r="530" spans="1:8" x14ac:dyDescent="0.25">
      <c r="A530" t="s">
        <v>24</v>
      </c>
      <c r="B530" s="101" t="s">
        <v>208</v>
      </c>
      <c r="C530" s="46">
        <v>44347.666944444441</v>
      </c>
      <c r="D530" t="s">
        <v>146</v>
      </c>
      <c r="E530">
        <v>4.5</v>
      </c>
      <c r="F530" t="str">
        <f>VLOOKUP(A530*1,Table2[],5,TRUE)</f>
        <v>20:30:00</v>
      </c>
      <c r="G530" s="46" t="e">
        <f t="shared" si="16"/>
        <v>#VALUE!</v>
      </c>
      <c r="H530" t="e">
        <f t="shared" si="17"/>
        <v>#VALUE!</v>
      </c>
    </row>
    <row r="531" spans="1:8" x14ac:dyDescent="0.25">
      <c r="A531" t="s">
        <v>24</v>
      </c>
      <c r="B531" s="101" t="s">
        <v>217</v>
      </c>
      <c r="C531" s="46">
        <v>44347.667025462964</v>
      </c>
      <c r="D531" t="s">
        <v>147</v>
      </c>
      <c r="E531">
        <v>3.8</v>
      </c>
      <c r="F531" t="str">
        <f>VLOOKUP(A531*1,Table2[],5,TRUE)</f>
        <v>20:30:00</v>
      </c>
      <c r="G531" s="46" t="e">
        <f t="shared" si="16"/>
        <v>#VALUE!</v>
      </c>
      <c r="H531" t="e">
        <f t="shared" si="17"/>
        <v>#VALUE!</v>
      </c>
    </row>
    <row r="532" spans="1:8" x14ac:dyDescent="0.25">
      <c r="A532" t="s">
        <v>24</v>
      </c>
      <c r="B532" s="101" t="s">
        <v>208</v>
      </c>
      <c r="C532" s="46">
        <v>44347.667245370372</v>
      </c>
      <c r="D532" t="s">
        <v>148</v>
      </c>
      <c r="E532">
        <v>45.35</v>
      </c>
      <c r="F532" t="str">
        <f>VLOOKUP(A532*1,Table2[],5,TRUE)</f>
        <v>20:30:00</v>
      </c>
      <c r="G532" s="46" t="e">
        <f t="shared" si="16"/>
        <v>#VALUE!</v>
      </c>
      <c r="H532" t="e">
        <f t="shared" si="17"/>
        <v>#VALUE!</v>
      </c>
    </row>
    <row r="533" spans="1:8" x14ac:dyDescent="0.25">
      <c r="A533" t="s">
        <v>24</v>
      </c>
      <c r="B533" s="101" t="s">
        <v>217</v>
      </c>
      <c r="C533" s="46">
        <v>44347.667824074073</v>
      </c>
      <c r="D533" t="s">
        <v>146</v>
      </c>
      <c r="E533">
        <v>3.8</v>
      </c>
      <c r="F533" t="str">
        <f>VLOOKUP(A533*1,Table2[],5,TRUE)</f>
        <v>20:30:00</v>
      </c>
      <c r="G533" s="46" t="e">
        <f t="shared" si="16"/>
        <v>#VALUE!</v>
      </c>
      <c r="H533" t="e">
        <f t="shared" si="17"/>
        <v>#VALUE!</v>
      </c>
    </row>
    <row r="534" spans="1:8" x14ac:dyDescent="0.25">
      <c r="A534" t="s">
        <v>24</v>
      </c>
      <c r="B534" s="101" t="s">
        <v>217</v>
      </c>
      <c r="C534" s="46">
        <v>44347.668993055559</v>
      </c>
      <c r="D534" t="s">
        <v>146</v>
      </c>
      <c r="E534">
        <v>39.950000000000003</v>
      </c>
      <c r="F534" t="str">
        <f>VLOOKUP(A534*1,Table2[],5,TRUE)</f>
        <v>20:30:00</v>
      </c>
      <c r="G534" s="46" t="e">
        <f t="shared" si="16"/>
        <v>#VALUE!</v>
      </c>
      <c r="H534" t="e">
        <f t="shared" si="17"/>
        <v>#VALUE!</v>
      </c>
    </row>
    <row r="535" spans="1:8" x14ac:dyDescent="0.25">
      <c r="A535" t="s">
        <v>24</v>
      </c>
      <c r="B535" s="101" t="s">
        <v>217</v>
      </c>
      <c r="C535" s="46">
        <v>44347.669398148151</v>
      </c>
      <c r="D535" t="s">
        <v>147</v>
      </c>
      <c r="E535">
        <v>11.1</v>
      </c>
      <c r="F535" t="str">
        <f>VLOOKUP(A535*1,Table2[],5,TRUE)</f>
        <v>20:30:00</v>
      </c>
      <c r="G535" s="46" t="e">
        <f t="shared" si="16"/>
        <v>#VALUE!</v>
      </c>
      <c r="H535" t="e">
        <f t="shared" si="17"/>
        <v>#VALUE!</v>
      </c>
    </row>
    <row r="536" spans="1:8" x14ac:dyDescent="0.25">
      <c r="A536" t="s">
        <v>24</v>
      </c>
      <c r="B536" s="101" t="s">
        <v>217</v>
      </c>
      <c r="C536" s="46">
        <v>44347.669618055559</v>
      </c>
      <c r="D536" t="s">
        <v>146</v>
      </c>
      <c r="E536">
        <v>11.1</v>
      </c>
      <c r="F536" t="str">
        <f>VLOOKUP(A536*1,Table2[],5,TRUE)</f>
        <v>20:30:00</v>
      </c>
      <c r="G536" s="46" t="e">
        <f t="shared" si="16"/>
        <v>#VALUE!</v>
      </c>
      <c r="H536" t="e">
        <f t="shared" si="17"/>
        <v>#VALUE!</v>
      </c>
    </row>
    <row r="537" spans="1:8" x14ac:dyDescent="0.25">
      <c r="A537" t="s">
        <v>24</v>
      </c>
      <c r="B537" s="101" t="s">
        <v>217</v>
      </c>
      <c r="C537" s="46">
        <v>44347.671666666669</v>
      </c>
      <c r="D537" t="s">
        <v>146</v>
      </c>
      <c r="E537">
        <v>9.99</v>
      </c>
      <c r="F537" t="str">
        <f>VLOOKUP(A537*1,Table2[],5,TRUE)</f>
        <v>20:30:00</v>
      </c>
      <c r="G537" s="46" t="e">
        <f t="shared" si="16"/>
        <v>#VALUE!</v>
      </c>
      <c r="H537" t="e">
        <f t="shared" si="17"/>
        <v>#VALUE!</v>
      </c>
    </row>
    <row r="538" spans="1:8" x14ac:dyDescent="0.25">
      <c r="A538" t="s">
        <v>24</v>
      </c>
      <c r="B538" s="101" t="s">
        <v>208</v>
      </c>
      <c r="C538" s="46">
        <v>44347.671689814815</v>
      </c>
      <c r="D538" t="s">
        <v>146</v>
      </c>
      <c r="E538">
        <v>59.95</v>
      </c>
      <c r="F538" t="str">
        <f>VLOOKUP(A538*1,Table2[],5,TRUE)</f>
        <v>20:30:00</v>
      </c>
      <c r="G538" s="46" t="e">
        <f t="shared" si="16"/>
        <v>#VALUE!</v>
      </c>
      <c r="H538" t="e">
        <f t="shared" si="17"/>
        <v>#VALUE!</v>
      </c>
    </row>
    <row r="539" spans="1:8" x14ac:dyDescent="0.25">
      <c r="A539" t="s">
        <v>24</v>
      </c>
      <c r="B539" s="101" t="s">
        <v>208</v>
      </c>
      <c r="C539" s="46">
        <v>44347.671979166669</v>
      </c>
      <c r="D539" t="s">
        <v>147</v>
      </c>
      <c r="E539">
        <v>4.2</v>
      </c>
      <c r="F539" t="str">
        <f>VLOOKUP(A539*1,Table2[],5,TRUE)</f>
        <v>20:30:00</v>
      </c>
      <c r="G539" s="46" t="e">
        <f t="shared" si="16"/>
        <v>#VALUE!</v>
      </c>
      <c r="H539" t="e">
        <f t="shared" si="17"/>
        <v>#VALUE!</v>
      </c>
    </row>
    <row r="540" spans="1:8" x14ac:dyDescent="0.25">
      <c r="A540" t="s">
        <v>24</v>
      </c>
      <c r="B540" s="101" t="s">
        <v>208</v>
      </c>
      <c r="C540" s="46">
        <v>44347.672511574077</v>
      </c>
      <c r="D540" t="s">
        <v>147</v>
      </c>
      <c r="E540">
        <v>26.47</v>
      </c>
      <c r="F540" t="str">
        <f>VLOOKUP(A540*1,Table2[],5,TRUE)</f>
        <v>20:30:00</v>
      </c>
      <c r="G540" s="46" t="e">
        <f t="shared" si="16"/>
        <v>#VALUE!</v>
      </c>
      <c r="H540" t="e">
        <f t="shared" si="17"/>
        <v>#VALUE!</v>
      </c>
    </row>
    <row r="541" spans="1:8" x14ac:dyDescent="0.25">
      <c r="A541" t="s">
        <v>24</v>
      </c>
      <c r="B541" s="101" t="s">
        <v>217</v>
      </c>
      <c r="C541" s="46">
        <v>44347.67287037037</v>
      </c>
      <c r="D541" t="s">
        <v>147</v>
      </c>
      <c r="E541">
        <v>6.2</v>
      </c>
      <c r="F541" t="str">
        <f>VLOOKUP(A541*1,Table2[],5,TRUE)</f>
        <v>20:30:00</v>
      </c>
      <c r="G541" s="46" t="e">
        <f t="shared" si="16"/>
        <v>#VALUE!</v>
      </c>
      <c r="H541" t="e">
        <f t="shared" si="17"/>
        <v>#VALUE!</v>
      </c>
    </row>
    <row r="542" spans="1:8" x14ac:dyDescent="0.25">
      <c r="A542" t="s">
        <v>24</v>
      </c>
      <c r="B542" s="101" t="s">
        <v>208</v>
      </c>
      <c r="C542" s="46">
        <v>44347.673125000001</v>
      </c>
      <c r="D542" t="s">
        <v>147</v>
      </c>
      <c r="E542">
        <v>7.6</v>
      </c>
      <c r="F542" t="str">
        <f>VLOOKUP(A542*1,Table2[],5,TRUE)</f>
        <v>20:30:00</v>
      </c>
      <c r="G542" s="46" t="e">
        <f t="shared" si="16"/>
        <v>#VALUE!</v>
      </c>
      <c r="H542" t="e">
        <f t="shared" si="17"/>
        <v>#VALUE!</v>
      </c>
    </row>
    <row r="543" spans="1:8" x14ac:dyDescent="0.25">
      <c r="A543" t="s">
        <v>24</v>
      </c>
      <c r="B543" s="101" t="s">
        <v>217</v>
      </c>
      <c r="C543" s="46">
        <v>44347.67454861111</v>
      </c>
      <c r="D543" t="s">
        <v>147</v>
      </c>
      <c r="E543">
        <v>6.2</v>
      </c>
      <c r="F543" t="str">
        <f>VLOOKUP(A543*1,Table2[],5,TRUE)</f>
        <v>20:30:00</v>
      </c>
      <c r="G543" s="46" t="e">
        <f t="shared" si="16"/>
        <v>#VALUE!</v>
      </c>
      <c r="H543" t="e">
        <f t="shared" si="17"/>
        <v>#VALUE!</v>
      </c>
    </row>
    <row r="544" spans="1:8" x14ac:dyDescent="0.25">
      <c r="A544" t="s">
        <v>24</v>
      </c>
      <c r="B544" s="101" t="s">
        <v>217</v>
      </c>
      <c r="C544" s="46">
        <v>44347.675011574072</v>
      </c>
      <c r="D544" t="s">
        <v>147</v>
      </c>
      <c r="E544">
        <v>22.59</v>
      </c>
      <c r="F544" t="str">
        <f>VLOOKUP(A544*1,Table2[],5,TRUE)</f>
        <v>20:30:00</v>
      </c>
      <c r="G544" s="46" t="e">
        <f t="shared" si="16"/>
        <v>#VALUE!</v>
      </c>
      <c r="H544" t="e">
        <f t="shared" si="17"/>
        <v>#VALUE!</v>
      </c>
    </row>
    <row r="545" spans="1:8" x14ac:dyDescent="0.25">
      <c r="A545" t="s">
        <v>24</v>
      </c>
      <c r="B545" s="101" t="s">
        <v>217</v>
      </c>
      <c r="C545" s="46">
        <v>44347.675636574073</v>
      </c>
      <c r="D545" t="s">
        <v>146</v>
      </c>
      <c r="E545">
        <v>39.950000000000003</v>
      </c>
      <c r="F545" t="str">
        <f>VLOOKUP(A545*1,Table2[],5,TRUE)</f>
        <v>20:30:00</v>
      </c>
      <c r="G545" s="46" t="e">
        <f t="shared" si="16"/>
        <v>#VALUE!</v>
      </c>
      <c r="H545" t="e">
        <f t="shared" si="17"/>
        <v>#VALUE!</v>
      </c>
    </row>
    <row r="546" spans="1:8" x14ac:dyDescent="0.25">
      <c r="A546" t="s">
        <v>24</v>
      </c>
      <c r="B546" s="101" t="s">
        <v>208</v>
      </c>
      <c r="C546" s="46">
        <v>44347.675752314812</v>
      </c>
      <c r="D546" t="s">
        <v>146</v>
      </c>
      <c r="E546">
        <v>6.2</v>
      </c>
      <c r="F546" t="str">
        <f>VLOOKUP(A546*1,Table2[],5,TRUE)</f>
        <v>20:30:00</v>
      </c>
      <c r="G546" s="46" t="e">
        <f t="shared" si="16"/>
        <v>#VALUE!</v>
      </c>
      <c r="H546" t="e">
        <f t="shared" si="17"/>
        <v>#VALUE!</v>
      </c>
    </row>
    <row r="547" spans="1:8" x14ac:dyDescent="0.25">
      <c r="A547" t="s">
        <v>24</v>
      </c>
      <c r="B547" s="101" t="s">
        <v>217</v>
      </c>
      <c r="C547" s="46">
        <v>44347.676226851851</v>
      </c>
      <c r="D547" t="s">
        <v>146</v>
      </c>
      <c r="E547">
        <v>15.5</v>
      </c>
      <c r="F547" t="str">
        <f>VLOOKUP(A547*1,Table2[],5,TRUE)</f>
        <v>20:30:00</v>
      </c>
      <c r="G547" s="46" t="e">
        <f t="shared" si="16"/>
        <v>#VALUE!</v>
      </c>
      <c r="H547" t="e">
        <f t="shared" si="17"/>
        <v>#VALUE!</v>
      </c>
    </row>
    <row r="548" spans="1:8" x14ac:dyDescent="0.25">
      <c r="A548" t="s">
        <v>24</v>
      </c>
      <c r="B548" s="101" t="s">
        <v>208</v>
      </c>
      <c r="C548" s="46">
        <v>44347.676458333335</v>
      </c>
      <c r="D548" t="s">
        <v>148</v>
      </c>
      <c r="E548">
        <v>8</v>
      </c>
      <c r="F548" t="str">
        <f>VLOOKUP(A548*1,Table2[],5,TRUE)</f>
        <v>20:30:00</v>
      </c>
      <c r="G548" s="46" t="e">
        <f t="shared" si="16"/>
        <v>#VALUE!</v>
      </c>
      <c r="H548" t="e">
        <f t="shared" si="17"/>
        <v>#VALUE!</v>
      </c>
    </row>
    <row r="549" spans="1:8" x14ac:dyDescent="0.25">
      <c r="A549" t="s">
        <v>24</v>
      </c>
      <c r="B549" s="101" t="s">
        <v>217</v>
      </c>
      <c r="C549" s="46">
        <v>44347.676469907405</v>
      </c>
      <c r="D549" t="s">
        <v>147</v>
      </c>
      <c r="E549">
        <v>5</v>
      </c>
      <c r="F549" t="str">
        <f>VLOOKUP(A549*1,Table2[],5,TRUE)</f>
        <v>20:30:00</v>
      </c>
      <c r="G549" s="46" t="e">
        <f t="shared" si="16"/>
        <v>#VALUE!</v>
      </c>
      <c r="H549" t="e">
        <f t="shared" si="17"/>
        <v>#VALUE!</v>
      </c>
    </row>
    <row r="550" spans="1:8" x14ac:dyDescent="0.25">
      <c r="A550" t="s">
        <v>24</v>
      </c>
      <c r="B550" s="101" t="s">
        <v>208</v>
      </c>
      <c r="C550" s="46">
        <v>44347.676898148151</v>
      </c>
      <c r="D550" t="s">
        <v>147</v>
      </c>
      <c r="E550">
        <v>14.99</v>
      </c>
      <c r="F550" t="str">
        <f>VLOOKUP(A550*1,Table2[],5,TRUE)</f>
        <v>20:30:00</v>
      </c>
      <c r="G550" s="46" t="e">
        <f t="shared" si="16"/>
        <v>#VALUE!</v>
      </c>
      <c r="H550" t="e">
        <f t="shared" si="17"/>
        <v>#VALUE!</v>
      </c>
    </row>
    <row r="551" spans="1:8" x14ac:dyDescent="0.25">
      <c r="A551" t="s">
        <v>24</v>
      </c>
      <c r="B551" s="101" t="s">
        <v>208</v>
      </c>
      <c r="C551" s="46">
        <v>44347.677129629628</v>
      </c>
      <c r="D551" t="s">
        <v>147</v>
      </c>
      <c r="E551">
        <v>14.2</v>
      </c>
      <c r="F551" t="str">
        <f>VLOOKUP(A551*1,Table2[],5,TRUE)</f>
        <v>20:30:00</v>
      </c>
      <c r="G551" s="46" t="e">
        <f t="shared" si="16"/>
        <v>#VALUE!</v>
      </c>
      <c r="H551" t="e">
        <f t="shared" si="17"/>
        <v>#VALUE!</v>
      </c>
    </row>
    <row r="552" spans="1:8" x14ac:dyDescent="0.25">
      <c r="A552" t="s">
        <v>24</v>
      </c>
      <c r="B552" s="101" t="s">
        <v>208</v>
      </c>
      <c r="C552" s="46">
        <v>44347.678344907406</v>
      </c>
      <c r="D552" t="s">
        <v>148</v>
      </c>
      <c r="E552">
        <v>7</v>
      </c>
      <c r="F552" t="str">
        <f>VLOOKUP(A552*1,Table2[],5,TRUE)</f>
        <v>20:30:00</v>
      </c>
      <c r="G552" s="46" t="e">
        <f t="shared" si="16"/>
        <v>#VALUE!</v>
      </c>
      <c r="H552" t="e">
        <f t="shared" si="17"/>
        <v>#VALUE!</v>
      </c>
    </row>
    <row r="553" spans="1:8" x14ac:dyDescent="0.25">
      <c r="A553" t="s">
        <v>24</v>
      </c>
      <c r="B553" s="101" t="s">
        <v>208</v>
      </c>
      <c r="C553" s="46">
        <v>44347.678773148145</v>
      </c>
      <c r="D553" t="s">
        <v>147</v>
      </c>
      <c r="E553">
        <v>12.3</v>
      </c>
      <c r="F553" t="str">
        <f>VLOOKUP(A553*1,Table2[],5,TRUE)</f>
        <v>20:30:00</v>
      </c>
      <c r="G553" s="46" t="e">
        <f t="shared" si="16"/>
        <v>#VALUE!</v>
      </c>
      <c r="H553" t="e">
        <f t="shared" si="17"/>
        <v>#VALUE!</v>
      </c>
    </row>
    <row r="554" spans="1:8" x14ac:dyDescent="0.25">
      <c r="A554" t="s">
        <v>24</v>
      </c>
      <c r="B554" s="101" t="s">
        <v>208</v>
      </c>
      <c r="C554" s="46">
        <v>44347.679178240738</v>
      </c>
      <c r="D554" t="s">
        <v>148</v>
      </c>
      <c r="E554">
        <v>6</v>
      </c>
      <c r="F554" t="str">
        <f>VLOOKUP(A554*1,Table2[],5,TRUE)</f>
        <v>20:30:00</v>
      </c>
      <c r="G554" s="46" t="e">
        <f t="shared" si="16"/>
        <v>#VALUE!</v>
      </c>
      <c r="H554" t="e">
        <f t="shared" si="17"/>
        <v>#VALUE!</v>
      </c>
    </row>
    <row r="555" spans="1:8" x14ac:dyDescent="0.25">
      <c r="A555" t="s">
        <v>24</v>
      </c>
      <c r="B555" s="101" t="s">
        <v>208</v>
      </c>
      <c r="C555" s="46">
        <v>44347.680358796293</v>
      </c>
      <c r="D555" t="s">
        <v>146</v>
      </c>
      <c r="E555">
        <v>5</v>
      </c>
      <c r="F555" t="str">
        <f>VLOOKUP(A555*1,Table2[],5,TRUE)</f>
        <v>20:30:00</v>
      </c>
      <c r="G555" s="46" t="e">
        <f t="shared" si="16"/>
        <v>#VALUE!</v>
      </c>
      <c r="H555" t="e">
        <f t="shared" si="17"/>
        <v>#VALUE!</v>
      </c>
    </row>
    <row r="556" spans="1:8" x14ac:dyDescent="0.25">
      <c r="A556" t="s">
        <v>24</v>
      </c>
      <c r="B556" s="101" t="s">
        <v>208</v>
      </c>
      <c r="C556" s="46">
        <v>44347.680798611109</v>
      </c>
      <c r="D556" t="s">
        <v>146</v>
      </c>
      <c r="E556">
        <v>15.8</v>
      </c>
      <c r="F556" t="str">
        <f>VLOOKUP(A556*1,Table2[],5,TRUE)</f>
        <v>20:30:00</v>
      </c>
      <c r="G556" s="46" t="e">
        <f t="shared" si="16"/>
        <v>#VALUE!</v>
      </c>
      <c r="H556" t="e">
        <f t="shared" si="17"/>
        <v>#VALUE!</v>
      </c>
    </row>
    <row r="557" spans="1:8" x14ac:dyDescent="0.25">
      <c r="A557" t="s">
        <v>24</v>
      </c>
      <c r="B557" s="101" t="s">
        <v>208</v>
      </c>
      <c r="C557" s="46">
        <v>44347.681076388886</v>
      </c>
      <c r="D557" t="s">
        <v>147</v>
      </c>
      <c r="E557">
        <v>16.7</v>
      </c>
      <c r="F557" t="str">
        <f>VLOOKUP(A557*1,Table2[],5,TRUE)</f>
        <v>20:30:00</v>
      </c>
      <c r="G557" s="46" t="e">
        <f t="shared" si="16"/>
        <v>#VALUE!</v>
      </c>
      <c r="H557" t="e">
        <f t="shared" si="17"/>
        <v>#VALUE!</v>
      </c>
    </row>
    <row r="558" spans="1:8" x14ac:dyDescent="0.25">
      <c r="A558" t="s">
        <v>24</v>
      </c>
      <c r="B558" s="101" t="s">
        <v>208</v>
      </c>
      <c r="C558" s="46">
        <v>44347.68136574074</v>
      </c>
      <c r="D558" t="s">
        <v>147</v>
      </c>
      <c r="E558">
        <v>3.8</v>
      </c>
      <c r="F558" t="str">
        <f>VLOOKUP(A558*1,Table2[],5,TRUE)</f>
        <v>20:30:00</v>
      </c>
      <c r="G558" s="46" t="e">
        <f t="shared" si="16"/>
        <v>#VALUE!</v>
      </c>
      <c r="H558" t="e">
        <f t="shared" si="17"/>
        <v>#VALUE!</v>
      </c>
    </row>
    <row r="559" spans="1:8" x14ac:dyDescent="0.25">
      <c r="A559" t="s">
        <v>24</v>
      </c>
      <c r="B559" s="101" t="s">
        <v>217</v>
      </c>
      <c r="C559" s="46">
        <v>44347.681423611109</v>
      </c>
      <c r="D559" t="s">
        <v>146</v>
      </c>
      <c r="E559">
        <v>15.15</v>
      </c>
      <c r="F559" t="str">
        <f>VLOOKUP(A559*1,Table2[],5,TRUE)</f>
        <v>20:30:00</v>
      </c>
      <c r="G559" s="46" t="e">
        <f t="shared" si="16"/>
        <v>#VALUE!</v>
      </c>
      <c r="H559" t="e">
        <f t="shared" si="17"/>
        <v>#VALUE!</v>
      </c>
    </row>
    <row r="560" spans="1:8" x14ac:dyDescent="0.25">
      <c r="A560" t="s">
        <v>24</v>
      </c>
      <c r="B560" s="101" t="s">
        <v>208</v>
      </c>
      <c r="C560" s="46">
        <v>44347.682187500002</v>
      </c>
      <c r="D560" t="s">
        <v>147</v>
      </c>
      <c r="E560">
        <v>4.5</v>
      </c>
      <c r="F560" t="str">
        <f>VLOOKUP(A560*1,Table2[],5,TRUE)</f>
        <v>20:30:00</v>
      </c>
      <c r="G560" s="46" t="e">
        <f t="shared" si="16"/>
        <v>#VALUE!</v>
      </c>
      <c r="H560" t="e">
        <f t="shared" si="17"/>
        <v>#VALUE!</v>
      </c>
    </row>
    <row r="561" spans="1:8" x14ac:dyDescent="0.25">
      <c r="A561" t="s">
        <v>24</v>
      </c>
      <c r="B561" s="101" t="s">
        <v>208</v>
      </c>
      <c r="C561" s="46">
        <v>44347.684293981481</v>
      </c>
      <c r="D561" t="s">
        <v>147</v>
      </c>
      <c r="E561">
        <v>17.64</v>
      </c>
      <c r="F561" t="str">
        <f>VLOOKUP(A561*1,Table2[],5,TRUE)</f>
        <v>20:30:00</v>
      </c>
      <c r="G561" s="46" t="e">
        <f t="shared" si="16"/>
        <v>#VALUE!</v>
      </c>
      <c r="H561" t="e">
        <f t="shared" si="17"/>
        <v>#VALUE!</v>
      </c>
    </row>
    <row r="562" spans="1:8" x14ac:dyDescent="0.25">
      <c r="A562" t="s">
        <v>24</v>
      </c>
      <c r="B562" s="101" t="s">
        <v>217</v>
      </c>
      <c r="C562" s="46">
        <v>44347.686006944445</v>
      </c>
      <c r="D562" t="s">
        <v>147</v>
      </c>
      <c r="E562">
        <v>39.979999999999997</v>
      </c>
      <c r="F562" t="str">
        <f>VLOOKUP(A562*1,Table2[],5,TRUE)</f>
        <v>20:30:00</v>
      </c>
      <c r="G562" s="46" t="e">
        <f t="shared" si="16"/>
        <v>#VALUE!</v>
      </c>
      <c r="H562" t="e">
        <f t="shared" si="17"/>
        <v>#VALUE!</v>
      </c>
    </row>
    <row r="563" spans="1:8" x14ac:dyDescent="0.25">
      <c r="A563" t="s">
        <v>24</v>
      </c>
      <c r="B563" s="101" t="s">
        <v>217</v>
      </c>
      <c r="C563" s="46">
        <v>44347.686284722222</v>
      </c>
      <c r="D563" t="s">
        <v>146</v>
      </c>
      <c r="E563">
        <v>11.1</v>
      </c>
      <c r="F563" t="str">
        <f>VLOOKUP(A563*1,Table2[],5,TRUE)</f>
        <v>20:30:00</v>
      </c>
      <c r="G563" s="46" t="e">
        <f t="shared" si="16"/>
        <v>#VALUE!</v>
      </c>
      <c r="H563" t="e">
        <f t="shared" si="17"/>
        <v>#VALUE!</v>
      </c>
    </row>
    <row r="564" spans="1:8" x14ac:dyDescent="0.25">
      <c r="A564" t="s">
        <v>24</v>
      </c>
      <c r="B564" s="101" t="s">
        <v>217</v>
      </c>
      <c r="C564" s="46">
        <v>44347.686886574076</v>
      </c>
      <c r="D564" t="s">
        <v>148</v>
      </c>
      <c r="E564">
        <v>36.950000000000003</v>
      </c>
      <c r="F564" t="str">
        <f>VLOOKUP(A564*1,Table2[],5,TRUE)</f>
        <v>20:30:00</v>
      </c>
      <c r="G564" s="46" t="e">
        <f t="shared" si="16"/>
        <v>#VALUE!</v>
      </c>
      <c r="H564" t="e">
        <f t="shared" si="17"/>
        <v>#VALUE!</v>
      </c>
    </row>
    <row r="565" spans="1:8" x14ac:dyDescent="0.25">
      <c r="A565" t="s">
        <v>24</v>
      </c>
      <c r="B565" s="101" t="s">
        <v>217</v>
      </c>
      <c r="C565" s="46">
        <v>44347.687789351854</v>
      </c>
      <c r="D565" t="s">
        <v>148</v>
      </c>
      <c r="E565">
        <v>70.14</v>
      </c>
      <c r="F565" t="str">
        <f>VLOOKUP(A565*1,Table2[],5,TRUE)</f>
        <v>20:30:00</v>
      </c>
      <c r="G565" s="46" t="e">
        <f t="shared" si="16"/>
        <v>#VALUE!</v>
      </c>
      <c r="H565" t="e">
        <f t="shared" si="17"/>
        <v>#VALUE!</v>
      </c>
    </row>
    <row r="566" spans="1:8" x14ac:dyDescent="0.25">
      <c r="A566" t="s">
        <v>24</v>
      </c>
      <c r="B566" s="101" t="s">
        <v>217</v>
      </c>
      <c r="C566" s="46">
        <v>44347.689120370371</v>
      </c>
      <c r="D566" t="s">
        <v>147</v>
      </c>
      <c r="E566">
        <v>7</v>
      </c>
      <c r="F566" t="str">
        <f>VLOOKUP(A566*1,Table2[],5,TRUE)</f>
        <v>20:30:00</v>
      </c>
      <c r="G566" s="46" t="e">
        <f t="shared" si="16"/>
        <v>#VALUE!</v>
      </c>
      <c r="H566" t="e">
        <f t="shared" si="17"/>
        <v>#VALUE!</v>
      </c>
    </row>
    <row r="567" spans="1:8" x14ac:dyDescent="0.25">
      <c r="A567" t="s">
        <v>24</v>
      </c>
      <c r="B567" s="101" t="s">
        <v>217</v>
      </c>
      <c r="C567" s="46">
        <v>44347.689421296294</v>
      </c>
      <c r="D567" t="s">
        <v>147</v>
      </c>
      <c r="E567">
        <v>15.98</v>
      </c>
      <c r="F567" t="str">
        <f>VLOOKUP(A567*1,Table2[],5,TRUE)</f>
        <v>20:30:00</v>
      </c>
      <c r="G567" s="46" t="e">
        <f t="shared" si="16"/>
        <v>#VALUE!</v>
      </c>
      <c r="H567" t="e">
        <f t="shared" si="17"/>
        <v>#VALUE!</v>
      </c>
    </row>
    <row r="568" spans="1:8" x14ac:dyDescent="0.25">
      <c r="A568" t="s">
        <v>24</v>
      </c>
      <c r="B568" s="101" t="s">
        <v>217</v>
      </c>
      <c r="C568" s="46">
        <v>44347.69122685185</v>
      </c>
      <c r="D568" t="s">
        <v>148</v>
      </c>
      <c r="E568">
        <v>40.14</v>
      </c>
      <c r="F568" t="str">
        <f>VLOOKUP(A568*1,Table2[],5,TRUE)</f>
        <v>20:30:00</v>
      </c>
      <c r="G568" s="46" t="e">
        <f t="shared" si="16"/>
        <v>#VALUE!</v>
      </c>
      <c r="H568" t="e">
        <f t="shared" si="17"/>
        <v>#VALUE!</v>
      </c>
    </row>
    <row r="569" spans="1:8" x14ac:dyDescent="0.25">
      <c r="A569" t="s">
        <v>24</v>
      </c>
      <c r="B569" s="101" t="s">
        <v>217</v>
      </c>
      <c r="C569" s="46">
        <v>44347.691782407404</v>
      </c>
      <c r="D569" t="s">
        <v>147</v>
      </c>
      <c r="E569">
        <v>29.95</v>
      </c>
      <c r="F569" t="str">
        <f>VLOOKUP(A569*1,Table2[],5,TRUE)</f>
        <v>20:30:00</v>
      </c>
      <c r="G569" s="46" t="e">
        <f t="shared" si="16"/>
        <v>#VALUE!</v>
      </c>
      <c r="H569" t="e">
        <f t="shared" si="17"/>
        <v>#VALUE!</v>
      </c>
    </row>
    <row r="570" spans="1:8" x14ac:dyDescent="0.25">
      <c r="A570" t="s">
        <v>24</v>
      </c>
      <c r="B570" s="101" t="s">
        <v>217</v>
      </c>
      <c r="C570" s="46">
        <v>44347.692106481481</v>
      </c>
      <c r="D570" t="s">
        <v>146</v>
      </c>
      <c r="E570">
        <v>5</v>
      </c>
      <c r="F570" t="str">
        <f>VLOOKUP(A570*1,Table2[],5,TRUE)</f>
        <v>20:30:00</v>
      </c>
      <c r="G570" s="46" t="e">
        <f t="shared" si="16"/>
        <v>#VALUE!</v>
      </c>
      <c r="H570" t="e">
        <f t="shared" si="17"/>
        <v>#VALUE!</v>
      </c>
    </row>
    <row r="571" spans="1:8" x14ac:dyDescent="0.25">
      <c r="A571" t="s">
        <v>24</v>
      </c>
      <c r="B571" s="101" t="s">
        <v>217</v>
      </c>
      <c r="C571" s="46">
        <v>44347.693888888891</v>
      </c>
      <c r="D571" t="s">
        <v>148</v>
      </c>
      <c r="E571">
        <v>36.18</v>
      </c>
      <c r="F571" t="str">
        <f>VLOOKUP(A571*1,Table2[],5,TRUE)</f>
        <v>20:30:00</v>
      </c>
      <c r="G571" s="46" t="e">
        <f t="shared" si="16"/>
        <v>#VALUE!</v>
      </c>
      <c r="H571" t="e">
        <f t="shared" si="17"/>
        <v>#VALUE!</v>
      </c>
    </row>
    <row r="572" spans="1:8" x14ac:dyDescent="0.25">
      <c r="A572" t="s">
        <v>24</v>
      </c>
      <c r="B572" s="101" t="s">
        <v>217</v>
      </c>
      <c r="C572" s="46">
        <v>44347.694212962961</v>
      </c>
      <c r="D572" t="s">
        <v>146</v>
      </c>
      <c r="E572">
        <v>6.2</v>
      </c>
      <c r="F572" t="str">
        <f>VLOOKUP(A572*1,Table2[],5,TRUE)</f>
        <v>20:30:00</v>
      </c>
      <c r="G572" s="46" t="e">
        <f t="shared" si="16"/>
        <v>#VALUE!</v>
      </c>
      <c r="H572" t="e">
        <f t="shared" si="17"/>
        <v>#VALUE!</v>
      </c>
    </row>
    <row r="573" spans="1:8" x14ac:dyDescent="0.25">
      <c r="A573" t="s">
        <v>24</v>
      </c>
      <c r="B573" s="101" t="s">
        <v>217</v>
      </c>
      <c r="C573" s="46">
        <v>44347.696435185186</v>
      </c>
      <c r="D573" t="s">
        <v>147</v>
      </c>
      <c r="E573">
        <v>9.98</v>
      </c>
      <c r="F573" t="str">
        <f>VLOOKUP(A573*1,Table2[],5,TRUE)</f>
        <v>20:30:00</v>
      </c>
      <c r="G573" s="46" t="e">
        <f t="shared" si="16"/>
        <v>#VALUE!</v>
      </c>
      <c r="H573" t="e">
        <f t="shared" si="17"/>
        <v>#VALUE!</v>
      </c>
    </row>
    <row r="574" spans="1:8" x14ac:dyDescent="0.25">
      <c r="A574" t="s">
        <v>24</v>
      </c>
      <c r="B574" s="101" t="s">
        <v>217</v>
      </c>
      <c r="C574" s="46">
        <v>44347.697372685187</v>
      </c>
      <c r="D574" t="s">
        <v>147</v>
      </c>
      <c r="E574">
        <v>52.94</v>
      </c>
      <c r="F574" t="str">
        <f>VLOOKUP(A574*1,Table2[],5,TRUE)</f>
        <v>20:30:00</v>
      </c>
      <c r="G574" s="46" t="e">
        <f t="shared" si="16"/>
        <v>#VALUE!</v>
      </c>
      <c r="H574" t="e">
        <f t="shared" si="17"/>
        <v>#VALUE!</v>
      </c>
    </row>
    <row r="575" spans="1:8" x14ac:dyDescent="0.25">
      <c r="A575" t="s">
        <v>24</v>
      </c>
      <c r="B575" s="101" t="s">
        <v>217</v>
      </c>
      <c r="C575" s="46">
        <v>44347.698310185187</v>
      </c>
      <c r="D575" t="s">
        <v>147</v>
      </c>
      <c r="E575">
        <v>13.03</v>
      </c>
      <c r="F575" t="str">
        <f>VLOOKUP(A575*1,Table2[],5,TRUE)</f>
        <v>20:30:00</v>
      </c>
      <c r="G575" s="46" t="e">
        <f t="shared" si="16"/>
        <v>#VALUE!</v>
      </c>
      <c r="H575" t="e">
        <f t="shared" si="17"/>
        <v>#VALUE!</v>
      </c>
    </row>
    <row r="576" spans="1:8" x14ac:dyDescent="0.25">
      <c r="A576" t="s">
        <v>24</v>
      </c>
      <c r="B576" s="101" t="s">
        <v>217</v>
      </c>
      <c r="C576" s="46">
        <v>44347.698831018519</v>
      </c>
      <c r="D576" t="s">
        <v>146</v>
      </c>
      <c r="E576">
        <v>42.99</v>
      </c>
      <c r="F576" t="str">
        <f>VLOOKUP(A576*1,Table2[],5,TRUE)</f>
        <v>20:30:00</v>
      </c>
      <c r="G576" s="46" t="e">
        <f t="shared" si="16"/>
        <v>#VALUE!</v>
      </c>
      <c r="H576" t="e">
        <f t="shared" si="17"/>
        <v>#VALUE!</v>
      </c>
    </row>
    <row r="577" spans="1:8" x14ac:dyDescent="0.25">
      <c r="A577" t="s">
        <v>24</v>
      </c>
      <c r="B577" s="101" t="s">
        <v>217</v>
      </c>
      <c r="C577" s="46">
        <v>44347.699004629627</v>
      </c>
      <c r="D577" t="s">
        <v>147</v>
      </c>
      <c r="E577">
        <v>9.4</v>
      </c>
      <c r="F577" t="str">
        <f>VLOOKUP(A577*1,Table2[],5,TRUE)</f>
        <v>20:30:00</v>
      </c>
      <c r="G577" s="46" t="e">
        <f t="shared" si="16"/>
        <v>#VALUE!</v>
      </c>
      <c r="H577" t="e">
        <f t="shared" si="17"/>
        <v>#VALUE!</v>
      </c>
    </row>
    <row r="578" spans="1:8" x14ac:dyDescent="0.25">
      <c r="A578" t="s">
        <v>24</v>
      </c>
      <c r="B578" s="101" t="s">
        <v>217</v>
      </c>
      <c r="C578" s="46">
        <v>44347.699571759258</v>
      </c>
      <c r="D578" t="s">
        <v>146</v>
      </c>
      <c r="E578">
        <v>21.19</v>
      </c>
      <c r="F578" t="str">
        <f>VLOOKUP(A578*1,Table2[],5,TRUE)</f>
        <v>20:30:00</v>
      </c>
      <c r="G578" s="46" t="e">
        <f t="shared" ref="G578:G641" si="18">DATEVALUE(TEXT($L$2-1,"DD/MM/YYYY"))+TIMEVALUE(TEXT(F578,"HH:MM:SS"))</f>
        <v>#VALUE!</v>
      </c>
      <c r="H578" t="e">
        <f t="shared" ref="H578:H641" si="19">IF(C578&lt;G578,"Before Bank Cut Off",IF(C578&gt;=DATEVALUE($L$2),"After Midnight","In Between"))</f>
        <v>#VALUE!</v>
      </c>
    </row>
    <row r="579" spans="1:8" x14ac:dyDescent="0.25">
      <c r="A579" t="s">
        <v>24</v>
      </c>
      <c r="B579" s="101" t="s">
        <v>217</v>
      </c>
      <c r="C579" s="46">
        <v>44347.699861111112</v>
      </c>
      <c r="D579" t="s">
        <v>147</v>
      </c>
      <c r="E579">
        <v>12</v>
      </c>
      <c r="F579" t="str">
        <f>VLOOKUP(A579*1,Table2[],5,TRUE)</f>
        <v>20:30:00</v>
      </c>
      <c r="G579" s="46" t="e">
        <f t="shared" si="18"/>
        <v>#VALUE!</v>
      </c>
      <c r="H579" t="e">
        <f t="shared" si="19"/>
        <v>#VALUE!</v>
      </c>
    </row>
    <row r="580" spans="1:8" x14ac:dyDescent="0.25">
      <c r="A580" t="s">
        <v>24</v>
      </c>
      <c r="B580" s="101" t="s">
        <v>217</v>
      </c>
      <c r="C580" s="46">
        <v>44347.70034722222</v>
      </c>
      <c r="D580" t="s">
        <v>146</v>
      </c>
      <c r="E580">
        <v>9</v>
      </c>
      <c r="F580" t="str">
        <f>VLOOKUP(A580*1,Table2[],5,TRUE)</f>
        <v>20:30:00</v>
      </c>
      <c r="G580" s="46" t="e">
        <f t="shared" si="18"/>
        <v>#VALUE!</v>
      </c>
      <c r="H580" t="e">
        <f t="shared" si="19"/>
        <v>#VALUE!</v>
      </c>
    </row>
    <row r="581" spans="1:8" x14ac:dyDescent="0.25">
      <c r="A581" t="s">
        <v>24</v>
      </c>
      <c r="B581" s="101" t="s">
        <v>217</v>
      </c>
      <c r="C581" s="46">
        <v>44347.700601851851</v>
      </c>
      <c r="D581" t="s">
        <v>148</v>
      </c>
      <c r="E581">
        <v>72.95</v>
      </c>
      <c r="F581" t="str">
        <f>VLOOKUP(A581*1,Table2[],5,TRUE)</f>
        <v>20:30:00</v>
      </c>
      <c r="G581" s="46" t="e">
        <f t="shared" si="18"/>
        <v>#VALUE!</v>
      </c>
      <c r="H581" t="e">
        <f t="shared" si="19"/>
        <v>#VALUE!</v>
      </c>
    </row>
    <row r="582" spans="1:8" x14ac:dyDescent="0.25">
      <c r="A582" t="s">
        <v>24</v>
      </c>
      <c r="B582" s="101" t="s">
        <v>217</v>
      </c>
      <c r="C582" s="46">
        <v>44347.702951388892</v>
      </c>
      <c r="D582" t="s">
        <v>146</v>
      </c>
      <c r="E582">
        <v>43.74</v>
      </c>
      <c r="F582" t="str">
        <f>VLOOKUP(A582*1,Table2[],5,TRUE)</f>
        <v>20:30:00</v>
      </c>
      <c r="G582" s="46" t="e">
        <f t="shared" si="18"/>
        <v>#VALUE!</v>
      </c>
      <c r="H582" t="e">
        <f t="shared" si="19"/>
        <v>#VALUE!</v>
      </c>
    </row>
    <row r="583" spans="1:8" x14ac:dyDescent="0.25">
      <c r="A583" t="s">
        <v>24</v>
      </c>
      <c r="B583" s="101" t="s">
        <v>217</v>
      </c>
      <c r="C583" s="46">
        <v>44347.703587962962</v>
      </c>
      <c r="D583" t="s">
        <v>148</v>
      </c>
      <c r="E583">
        <v>34.28</v>
      </c>
      <c r="F583" t="str">
        <f>VLOOKUP(A583*1,Table2[],5,TRUE)</f>
        <v>20:30:00</v>
      </c>
      <c r="G583" s="46" t="e">
        <f t="shared" si="18"/>
        <v>#VALUE!</v>
      </c>
      <c r="H583" t="e">
        <f t="shared" si="19"/>
        <v>#VALUE!</v>
      </c>
    </row>
    <row r="584" spans="1:8" x14ac:dyDescent="0.25">
      <c r="A584" t="s">
        <v>24</v>
      </c>
      <c r="B584" s="101" t="s">
        <v>217</v>
      </c>
      <c r="C584" s="46">
        <v>44347.704293981478</v>
      </c>
      <c r="D584" t="s">
        <v>148</v>
      </c>
      <c r="E584">
        <v>20.39</v>
      </c>
      <c r="F584" t="str">
        <f>VLOOKUP(A584*1,Table2[],5,TRUE)</f>
        <v>20:30:00</v>
      </c>
      <c r="G584" s="46" t="e">
        <f t="shared" si="18"/>
        <v>#VALUE!</v>
      </c>
      <c r="H584" t="e">
        <f t="shared" si="19"/>
        <v>#VALUE!</v>
      </c>
    </row>
    <row r="585" spans="1:8" x14ac:dyDescent="0.25">
      <c r="A585" t="s">
        <v>24</v>
      </c>
      <c r="B585" s="101" t="s">
        <v>217</v>
      </c>
      <c r="C585" s="46">
        <v>44347.70453703704</v>
      </c>
      <c r="D585" t="s">
        <v>146</v>
      </c>
      <c r="E585">
        <v>6</v>
      </c>
      <c r="F585" t="str">
        <f>VLOOKUP(A585*1,Table2[],5,TRUE)</f>
        <v>20:30:00</v>
      </c>
      <c r="G585" s="46" t="e">
        <f t="shared" si="18"/>
        <v>#VALUE!</v>
      </c>
      <c r="H585" t="e">
        <f t="shared" si="19"/>
        <v>#VALUE!</v>
      </c>
    </row>
    <row r="586" spans="1:8" x14ac:dyDescent="0.25">
      <c r="A586" t="s">
        <v>24</v>
      </c>
      <c r="B586" s="101" t="s">
        <v>217</v>
      </c>
      <c r="C586" s="46">
        <v>44347.70511574074</v>
      </c>
      <c r="D586" t="s">
        <v>148</v>
      </c>
      <c r="E586">
        <v>138.94</v>
      </c>
      <c r="F586" t="str">
        <f>VLOOKUP(A586*1,Table2[],5,TRUE)</f>
        <v>20:30:00</v>
      </c>
      <c r="G586" s="46" t="e">
        <f t="shared" si="18"/>
        <v>#VALUE!</v>
      </c>
      <c r="H586" t="e">
        <f t="shared" si="19"/>
        <v>#VALUE!</v>
      </c>
    </row>
    <row r="587" spans="1:8" x14ac:dyDescent="0.25">
      <c r="A587" t="s">
        <v>24</v>
      </c>
      <c r="B587" s="101" t="s">
        <v>217</v>
      </c>
      <c r="C587" s="46">
        <v>44347.70548611111</v>
      </c>
      <c r="D587" t="s">
        <v>147</v>
      </c>
      <c r="E587">
        <v>28.84</v>
      </c>
      <c r="F587" t="str">
        <f>VLOOKUP(A587*1,Table2[],5,TRUE)</f>
        <v>20:30:00</v>
      </c>
      <c r="G587" s="46" t="e">
        <f t="shared" si="18"/>
        <v>#VALUE!</v>
      </c>
      <c r="H587" t="e">
        <f t="shared" si="19"/>
        <v>#VALUE!</v>
      </c>
    </row>
    <row r="588" spans="1:8" x14ac:dyDescent="0.25">
      <c r="A588" t="s">
        <v>24</v>
      </c>
      <c r="B588" s="101" t="s">
        <v>217</v>
      </c>
      <c r="C588" s="46">
        <v>44347.706087962964</v>
      </c>
      <c r="D588" t="s">
        <v>147</v>
      </c>
      <c r="E588">
        <v>6</v>
      </c>
      <c r="F588" t="str">
        <f>VLOOKUP(A588*1,Table2[],5,TRUE)</f>
        <v>20:30:00</v>
      </c>
      <c r="G588" s="46" t="e">
        <f t="shared" si="18"/>
        <v>#VALUE!</v>
      </c>
      <c r="H588" t="e">
        <f t="shared" si="19"/>
        <v>#VALUE!</v>
      </c>
    </row>
    <row r="589" spans="1:8" x14ac:dyDescent="0.25">
      <c r="A589" t="s">
        <v>24</v>
      </c>
      <c r="B589" s="101" t="s">
        <v>208</v>
      </c>
      <c r="C589" s="46">
        <v>44347.707060185188</v>
      </c>
      <c r="D589" t="s">
        <v>147</v>
      </c>
      <c r="E589">
        <v>6.6</v>
      </c>
      <c r="F589" t="str">
        <f>VLOOKUP(A589*1,Table2[],5,TRUE)</f>
        <v>20:30:00</v>
      </c>
      <c r="G589" s="46" t="e">
        <f t="shared" si="18"/>
        <v>#VALUE!</v>
      </c>
      <c r="H589" t="e">
        <f t="shared" si="19"/>
        <v>#VALUE!</v>
      </c>
    </row>
    <row r="590" spans="1:8" x14ac:dyDescent="0.25">
      <c r="A590" t="s">
        <v>24</v>
      </c>
      <c r="B590" s="101" t="s">
        <v>217</v>
      </c>
      <c r="C590" s="46">
        <v>44347.707569444443</v>
      </c>
      <c r="D590" t="s">
        <v>148</v>
      </c>
      <c r="E590">
        <v>9.99</v>
      </c>
      <c r="F590" t="str">
        <f>VLOOKUP(A590*1,Table2[],5,TRUE)</f>
        <v>20:30:00</v>
      </c>
      <c r="G590" s="46" t="e">
        <f t="shared" si="18"/>
        <v>#VALUE!</v>
      </c>
      <c r="H590" t="e">
        <f t="shared" si="19"/>
        <v>#VALUE!</v>
      </c>
    </row>
    <row r="591" spans="1:8" x14ac:dyDescent="0.25">
      <c r="A591" t="s">
        <v>24</v>
      </c>
      <c r="B591" s="101" t="s">
        <v>208</v>
      </c>
      <c r="C591" s="46">
        <v>44347.708657407406</v>
      </c>
      <c r="D591" t="s">
        <v>148</v>
      </c>
      <c r="E591">
        <v>80.150000000000006</v>
      </c>
      <c r="F591" t="str">
        <f>VLOOKUP(A591*1,Table2[],5,TRUE)</f>
        <v>20:30:00</v>
      </c>
      <c r="G591" s="46" t="e">
        <f t="shared" si="18"/>
        <v>#VALUE!</v>
      </c>
      <c r="H591" t="e">
        <f t="shared" si="19"/>
        <v>#VALUE!</v>
      </c>
    </row>
    <row r="592" spans="1:8" x14ac:dyDescent="0.25">
      <c r="A592" t="s">
        <v>24</v>
      </c>
      <c r="B592" s="101" t="s">
        <v>208</v>
      </c>
      <c r="C592" s="46">
        <v>44347.709097222221</v>
      </c>
      <c r="D592" t="s">
        <v>146</v>
      </c>
      <c r="E592">
        <v>17.989999999999998</v>
      </c>
      <c r="F592" t="str">
        <f>VLOOKUP(A592*1,Table2[],5,TRUE)</f>
        <v>20:30:00</v>
      </c>
      <c r="G592" s="46" t="e">
        <f t="shared" si="18"/>
        <v>#VALUE!</v>
      </c>
      <c r="H592" t="e">
        <f t="shared" si="19"/>
        <v>#VALUE!</v>
      </c>
    </row>
    <row r="593" spans="1:8" x14ac:dyDescent="0.25">
      <c r="A593" t="s">
        <v>24</v>
      </c>
      <c r="B593" s="101" t="s">
        <v>208</v>
      </c>
      <c r="C593" s="46">
        <v>44347.709409722222</v>
      </c>
      <c r="D593" t="s">
        <v>148</v>
      </c>
      <c r="E593">
        <v>179</v>
      </c>
      <c r="F593" t="str">
        <f>VLOOKUP(A593*1,Table2[],5,TRUE)</f>
        <v>20:30:00</v>
      </c>
      <c r="G593" s="46" t="e">
        <f t="shared" si="18"/>
        <v>#VALUE!</v>
      </c>
      <c r="H593" t="e">
        <f t="shared" si="19"/>
        <v>#VALUE!</v>
      </c>
    </row>
    <row r="594" spans="1:8" x14ac:dyDescent="0.25">
      <c r="A594" t="s">
        <v>24</v>
      </c>
      <c r="B594" s="101" t="s">
        <v>208</v>
      </c>
      <c r="C594" s="46">
        <v>44347.709733796299</v>
      </c>
      <c r="D594" t="s">
        <v>146</v>
      </c>
      <c r="E594">
        <v>11.2</v>
      </c>
      <c r="F594" t="str">
        <f>VLOOKUP(A594*1,Table2[],5,TRUE)</f>
        <v>20:30:00</v>
      </c>
      <c r="G594" s="46" t="e">
        <f t="shared" si="18"/>
        <v>#VALUE!</v>
      </c>
      <c r="H594" t="e">
        <f t="shared" si="19"/>
        <v>#VALUE!</v>
      </c>
    </row>
    <row r="595" spans="1:8" x14ac:dyDescent="0.25">
      <c r="A595" t="s">
        <v>24</v>
      </c>
      <c r="B595" s="101" t="s">
        <v>208</v>
      </c>
      <c r="C595" s="46">
        <v>44347.710092592592</v>
      </c>
      <c r="D595" t="s">
        <v>147</v>
      </c>
      <c r="E595">
        <v>16.05</v>
      </c>
      <c r="F595" t="str">
        <f>VLOOKUP(A595*1,Table2[],5,TRUE)</f>
        <v>20:30:00</v>
      </c>
      <c r="G595" s="46" t="e">
        <f t="shared" si="18"/>
        <v>#VALUE!</v>
      </c>
      <c r="H595" t="e">
        <f t="shared" si="19"/>
        <v>#VALUE!</v>
      </c>
    </row>
    <row r="596" spans="1:8" x14ac:dyDescent="0.25">
      <c r="A596" t="s">
        <v>24</v>
      </c>
      <c r="B596" s="101" t="s">
        <v>208</v>
      </c>
      <c r="C596" s="46">
        <v>44347.710798611108</v>
      </c>
      <c r="D596" t="s">
        <v>146</v>
      </c>
      <c r="E596">
        <v>7.6</v>
      </c>
      <c r="F596" t="str">
        <f>VLOOKUP(A596*1,Table2[],5,TRUE)</f>
        <v>20:30:00</v>
      </c>
      <c r="G596" s="46" t="e">
        <f t="shared" si="18"/>
        <v>#VALUE!</v>
      </c>
      <c r="H596" t="e">
        <f t="shared" si="19"/>
        <v>#VALUE!</v>
      </c>
    </row>
    <row r="597" spans="1:8" x14ac:dyDescent="0.25">
      <c r="A597" t="s">
        <v>24</v>
      </c>
      <c r="B597" s="101" t="s">
        <v>208</v>
      </c>
      <c r="C597" s="46">
        <v>44347.711030092592</v>
      </c>
      <c r="D597" t="s">
        <v>148</v>
      </c>
      <c r="E597">
        <v>6.7</v>
      </c>
      <c r="F597" t="str">
        <f>VLOOKUP(A597*1,Table2[],5,TRUE)</f>
        <v>20:30:00</v>
      </c>
      <c r="G597" s="46" t="e">
        <f t="shared" si="18"/>
        <v>#VALUE!</v>
      </c>
      <c r="H597" t="e">
        <f t="shared" si="19"/>
        <v>#VALUE!</v>
      </c>
    </row>
    <row r="598" spans="1:8" x14ac:dyDescent="0.25">
      <c r="A598" t="s">
        <v>24</v>
      </c>
      <c r="B598" s="101" t="s">
        <v>208</v>
      </c>
      <c r="C598" s="46">
        <v>44347.711354166669</v>
      </c>
      <c r="D598" t="s">
        <v>147</v>
      </c>
      <c r="E598">
        <v>24.99</v>
      </c>
      <c r="F598" t="str">
        <f>VLOOKUP(A598*1,Table2[],5,TRUE)</f>
        <v>20:30:00</v>
      </c>
      <c r="G598" s="46" t="e">
        <f t="shared" si="18"/>
        <v>#VALUE!</v>
      </c>
      <c r="H598" t="e">
        <f t="shared" si="19"/>
        <v>#VALUE!</v>
      </c>
    </row>
    <row r="599" spans="1:8" x14ac:dyDescent="0.25">
      <c r="A599" t="s">
        <v>24</v>
      </c>
      <c r="B599" s="101" t="s">
        <v>217</v>
      </c>
      <c r="C599" s="46">
        <v>44347.712268518517</v>
      </c>
      <c r="D599" t="s">
        <v>148</v>
      </c>
      <c r="E599">
        <v>29.98</v>
      </c>
      <c r="F599" t="str">
        <f>VLOOKUP(A599*1,Table2[],5,TRUE)</f>
        <v>20:30:00</v>
      </c>
      <c r="G599" s="46" t="e">
        <f t="shared" si="18"/>
        <v>#VALUE!</v>
      </c>
      <c r="H599" t="e">
        <f t="shared" si="19"/>
        <v>#VALUE!</v>
      </c>
    </row>
    <row r="600" spans="1:8" x14ac:dyDescent="0.25">
      <c r="A600" t="s">
        <v>24</v>
      </c>
      <c r="B600" s="101" t="s">
        <v>217</v>
      </c>
      <c r="C600" s="46">
        <v>44347.712546296294</v>
      </c>
      <c r="D600" t="s">
        <v>147</v>
      </c>
      <c r="E600">
        <v>8</v>
      </c>
      <c r="F600" t="str">
        <f>VLOOKUP(A600*1,Table2[],5,TRUE)</f>
        <v>20:30:00</v>
      </c>
      <c r="G600" s="46" t="e">
        <f t="shared" si="18"/>
        <v>#VALUE!</v>
      </c>
      <c r="H600" t="e">
        <f t="shared" si="19"/>
        <v>#VALUE!</v>
      </c>
    </row>
    <row r="601" spans="1:8" x14ac:dyDescent="0.25">
      <c r="A601" t="s">
        <v>24</v>
      </c>
      <c r="B601" s="101" t="s">
        <v>217</v>
      </c>
      <c r="C601" s="46">
        <v>44347.713414351849</v>
      </c>
      <c r="D601" t="s">
        <v>147</v>
      </c>
      <c r="E601">
        <v>5.95</v>
      </c>
      <c r="F601" t="str">
        <f>VLOOKUP(A601*1,Table2[],5,TRUE)</f>
        <v>20:30:00</v>
      </c>
      <c r="G601" s="46" t="e">
        <f t="shared" si="18"/>
        <v>#VALUE!</v>
      </c>
      <c r="H601" t="e">
        <f t="shared" si="19"/>
        <v>#VALUE!</v>
      </c>
    </row>
    <row r="602" spans="1:8" x14ac:dyDescent="0.25">
      <c r="A602" t="s">
        <v>24</v>
      </c>
      <c r="B602" s="101" t="s">
        <v>217</v>
      </c>
      <c r="C602" s="46">
        <v>44347.713819444441</v>
      </c>
      <c r="D602" t="s">
        <v>146</v>
      </c>
      <c r="E602">
        <v>15.99</v>
      </c>
      <c r="F602" t="str">
        <f>VLOOKUP(A602*1,Table2[],5,TRUE)</f>
        <v>20:30:00</v>
      </c>
      <c r="G602" s="46" t="e">
        <f t="shared" si="18"/>
        <v>#VALUE!</v>
      </c>
      <c r="H602" t="e">
        <f t="shared" si="19"/>
        <v>#VALUE!</v>
      </c>
    </row>
    <row r="603" spans="1:8" x14ac:dyDescent="0.25">
      <c r="A603" t="s">
        <v>24</v>
      </c>
      <c r="B603" s="101" t="s">
        <v>217</v>
      </c>
      <c r="C603" s="46">
        <v>44347.714178240742</v>
      </c>
      <c r="D603" t="s">
        <v>148</v>
      </c>
      <c r="E603">
        <v>30.14</v>
      </c>
      <c r="F603" t="str">
        <f>VLOOKUP(A603*1,Table2[],5,TRUE)</f>
        <v>20:30:00</v>
      </c>
      <c r="G603" s="46" t="e">
        <f t="shared" si="18"/>
        <v>#VALUE!</v>
      </c>
      <c r="H603" t="e">
        <f t="shared" si="19"/>
        <v>#VALUE!</v>
      </c>
    </row>
    <row r="604" spans="1:8" x14ac:dyDescent="0.25">
      <c r="A604" t="s">
        <v>24</v>
      </c>
      <c r="B604" s="101" t="s">
        <v>217</v>
      </c>
      <c r="C604" s="46">
        <v>44347.714872685188</v>
      </c>
      <c r="D604" t="s">
        <v>146</v>
      </c>
      <c r="E604">
        <v>24.54</v>
      </c>
      <c r="F604" t="str">
        <f>VLOOKUP(A604*1,Table2[],5,TRUE)</f>
        <v>20:30:00</v>
      </c>
      <c r="G604" s="46" t="e">
        <f t="shared" si="18"/>
        <v>#VALUE!</v>
      </c>
      <c r="H604" t="e">
        <f t="shared" si="19"/>
        <v>#VALUE!</v>
      </c>
    </row>
    <row r="605" spans="1:8" x14ac:dyDescent="0.25">
      <c r="A605" t="s">
        <v>24</v>
      </c>
      <c r="B605" s="101" t="s">
        <v>217</v>
      </c>
      <c r="C605" s="46">
        <v>44347.715127314812</v>
      </c>
      <c r="D605" t="s">
        <v>146</v>
      </c>
      <c r="E605">
        <v>12.4</v>
      </c>
      <c r="F605" t="str">
        <f>VLOOKUP(A605*1,Table2[],5,TRUE)</f>
        <v>20:30:00</v>
      </c>
      <c r="G605" s="46" t="e">
        <f t="shared" si="18"/>
        <v>#VALUE!</v>
      </c>
      <c r="H605" t="e">
        <f t="shared" si="19"/>
        <v>#VALUE!</v>
      </c>
    </row>
    <row r="606" spans="1:8" x14ac:dyDescent="0.25">
      <c r="A606" t="s">
        <v>24</v>
      </c>
      <c r="B606" s="101" t="s">
        <v>217</v>
      </c>
      <c r="C606" s="46">
        <v>44347.715462962966</v>
      </c>
      <c r="D606" t="s">
        <v>146</v>
      </c>
      <c r="E606">
        <v>12.3</v>
      </c>
      <c r="F606" t="str">
        <f>VLOOKUP(A606*1,Table2[],5,TRUE)</f>
        <v>20:30:00</v>
      </c>
      <c r="G606" s="46" t="e">
        <f t="shared" si="18"/>
        <v>#VALUE!</v>
      </c>
      <c r="H606" t="e">
        <f t="shared" si="19"/>
        <v>#VALUE!</v>
      </c>
    </row>
    <row r="607" spans="1:8" x14ac:dyDescent="0.25">
      <c r="A607" t="s">
        <v>24</v>
      </c>
      <c r="B607" s="101" t="s">
        <v>217</v>
      </c>
      <c r="C607" s="46">
        <v>44347.71570601852</v>
      </c>
      <c r="D607" t="s">
        <v>147</v>
      </c>
      <c r="E607">
        <v>8.1999999999999993</v>
      </c>
      <c r="F607" t="str">
        <f>VLOOKUP(A607*1,Table2[],5,TRUE)</f>
        <v>20:30:00</v>
      </c>
      <c r="G607" s="46" t="e">
        <f t="shared" si="18"/>
        <v>#VALUE!</v>
      </c>
      <c r="H607" t="e">
        <f t="shared" si="19"/>
        <v>#VALUE!</v>
      </c>
    </row>
    <row r="608" spans="1:8" x14ac:dyDescent="0.25">
      <c r="A608" t="s">
        <v>24</v>
      </c>
      <c r="B608" s="101" t="s">
        <v>217</v>
      </c>
      <c r="C608" s="46">
        <v>44347.716354166667</v>
      </c>
      <c r="D608" t="s">
        <v>146</v>
      </c>
      <c r="E608">
        <v>26.1</v>
      </c>
      <c r="F608" t="str">
        <f>VLOOKUP(A608*1,Table2[],5,TRUE)</f>
        <v>20:30:00</v>
      </c>
      <c r="G608" s="46" t="e">
        <f t="shared" si="18"/>
        <v>#VALUE!</v>
      </c>
      <c r="H608" t="e">
        <f t="shared" si="19"/>
        <v>#VALUE!</v>
      </c>
    </row>
    <row r="609" spans="1:8" x14ac:dyDescent="0.25">
      <c r="A609" t="s">
        <v>24</v>
      </c>
      <c r="B609" s="101" t="s">
        <v>217</v>
      </c>
      <c r="C609" s="46">
        <v>44347.716747685183</v>
      </c>
      <c r="D609" t="s">
        <v>147</v>
      </c>
      <c r="E609">
        <v>20.9</v>
      </c>
      <c r="F609" t="str">
        <f>VLOOKUP(A609*1,Table2[],5,TRUE)</f>
        <v>20:30:00</v>
      </c>
      <c r="G609" s="46" t="e">
        <f t="shared" si="18"/>
        <v>#VALUE!</v>
      </c>
      <c r="H609" t="e">
        <f t="shared" si="19"/>
        <v>#VALUE!</v>
      </c>
    </row>
    <row r="610" spans="1:8" x14ac:dyDescent="0.25">
      <c r="A610" t="s">
        <v>24</v>
      </c>
      <c r="B610" s="101" t="s">
        <v>217</v>
      </c>
      <c r="C610" s="46">
        <v>44347.717175925929</v>
      </c>
      <c r="D610" t="s">
        <v>146</v>
      </c>
      <c r="E610">
        <v>27.55</v>
      </c>
      <c r="F610" t="str">
        <f>VLOOKUP(A610*1,Table2[],5,TRUE)</f>
        <v>20:30:00</v>
      </c>
      <c r="G610" s="46" t="e">
        <f t="shared" si="18"/>
        <v>#VALUE!</v>
      </c>
      <c r="H610" t="e">
        <f t="shared" si="19"/>
        <v>#VALUE!</v>
      </c>
    </row>
    <row r="611" spans="1:8" x14ac:dyDescent="0.25">
      <c r="A611" t="s">
        <v>24</v>
      </c>
      <c r="B611" s="101" t="s">
        <v>217</v>
      </c>
      <c r="C611" s="46">
        <v>44347.717523148145</v>
      </c>
      <c r="D611" t="s">
        <v>147</v>
      </c>
      <c r="E611">
        <v>5</v>
      </c>
      <c r="F611" t="str">
        <f>VLOOKUP(A611*1,Table2[],5,TRUE)</f>
        <v>20:30:00</v>
      </c>
      <c r="G611" s="46" t="e">
        <f t="shared" si="18"/>
        <v>#VALUE!</v>
      </c>
      <c r="H611" t="e">
        <f t="shared" si="19"/>
        <v>#VALUE!</v>
      </c>
    </row>
    <row r="612" spans="1:8" x14ac:dyDescent="0.25">
      <c r="A612" t="s">
        <v>24</v>
      </c>
      <c r="B612" s="101" t="s">
        <v>217</v>
      </c>
      <c r="C612" s="46">
        <v>44347.717881944445</v>
      </c>
      <c r="D612" t="s">
        <v>148</v>
      </c>
      <c r="E612">
        <v>5</v>
      </c>
      <c r="F612" t="str">
        <f>VLOOKUP(A612*1,Table2[],5,TRUE)</f>
        <v>20:30:00</v>
      </c>
      <c r="G612" s="46" t="e">
        <f t="shared" si="18"/>
        <v>#VALUE!</v>
      </c>
      <c r="H612" t="e">
        <f t="shared" si="19"/>
        <v>#VALUE!</v>
      </c>
    </row>
    <row r="613" spans="1:8" x14ac:dyDescent="0.25">
      <c r="A613" t="s">
        <v>24</v>
      </c>
      <c r="B613" s="101" t="s">
        <v>217</v>
      </c>
      <c r="C613" s="46">
        <v>44347.718240740738</v>
      </c>
      <c r="D613" t="s">
        <v>146</v>
      </c>
      <c r="E613">
        <v>12.2</v>
      </c>
      <c r="F613" t="str">
        <f>VLOOKUP(A613*1,Table2[],5,TRUE)</f>
        <v>20:30:00</v>
      </c>
      <c r="G613" s="46" t="e">
        <f t="shared" si="18"/>
        <v>#VALUE!</v>
      </c>
      <c r="H613" t="e">
        <f t="shared" si="19"/>
        <v>#VALUE!</v>
      </c>
    </row>
    <row r="614" spans="1:8" x14ac:dyDescent="0.25">
      <c r="A614" t="s">
        <v>24</v>
      </c>
      <c r="B614" s="101" t="s">
        <v>217</v>
      </c>
      <c r="C614" s="46">
        <v>44347.718449074076</v>
      </c>
      <c r="D614" t="s">
        <v>146</v>
      </c>
      <c r="E614">
        <v>5.7</v>
      </c>
      <c r="F614" t="str">
        <f>VLOOKUP(A614*1,Table2[],5,TRUE)</f>
        <v>20:30:00</v>
      </c>
      <c r="G614" s="46" t="e">
        <f t="shared" si="18"/>
        <v>#VALUE!</v>
      </c>
      <c r="H614" t="e">
        <f t="shared" si="19"/>
        <v>#VALUE!</v>
      </c>
    </row>
    <row r="615" spans="1:8" x14ac:dyDescent="0.25">
      <c r="A615" t="s">
        <v>24</v>
      </c>
      <c r="B615" s="101" t="s">
        <v>217</v>
      </c>
      <c r="C615" s="46">
        <v>44347.718645833331</v>
      </c>
      <c r="D615" t="s">
        <v>147</v>
      </c>
      <c r="E615">
        <v>5.99</v>
      </c>
      <c r="F615" t="str">
        <f>VLOOKUP(A615*1,Table2[],5,TRUE)</f>
        <v>20:30:00</v>
      </c>
      <c r="G615" s="46" t="e">
        <f t="shared" si="18"/>
        <v>#VALUE!</v>
      </c>
      <c r="H615" t="e">
        <f t="shared" si="19"/>
        <v>#VALUE!</v>
      </c>
    </row>
    <row r="616" spans="1:8" x14ac:dyDescent="0.25">
      <c r="A616" t="s">
        <v>24</v>
      </c>
      <c r="B616" s="101" t="s">
        <v>217</v>
      </c>
      <c r="C616" s="46">
        <v>44347.719502314816</v>
      </c>
      <c r="D616" t="s">
        <v>146</v>
      </c>
      <c r="E616">
        <v>7</v>
      </c>
      <c r="F616" t="str">
        <f>VLOOKUP(A616*1,Table2[],5,TRUE)</f>
        <v>20:30:00</v>
      </c>
      <c r="G616" s="46" t="e">
        <f t="shared" si="18"/>
        <v>#VALUE!</v>
      </c>
      <c r="H616" t="e">
        <f t="shared" si="19"/>
        <v>#VALUE!</v>
      </c>
    </row>
    <row r="617" spans="1:8" x14ac:dyDescent="0.25">
      <c r="A617" t="s">
        <v>24</v>
      </c>
      <c r="B617" s="101" t="s">
        <v>217</v>
      </c>
      <c r="C617" s="46">
        <v>44347.720625000002</v>
      </c>
      <c r="D617" t="s">
        <v>146</v>
      </c>
      <c r="E617">
        <v>5</v>
      </c>
      <c r="F617" t="str">
        <f>VLOOKUP(A617*1,Table2[],5,TRUE)</f>
        <v>20:30:00</v>
      </c>
      <c r="G617" s="46" t="e">
        <f t="shared" si="18"/>
        <v>#VALUE!</v>
      </c>
      <c r="H617" t="e">
        <f t="shared" si="19"/>
        <v>#VALUE!</v>
      </c>
    </row>
    <row r="618" spans="1:8" x14ac:dyDescent="0.25">
      <c r="A618" t="s">
        <v>24</v>
      </c>
      <c r="B618" s="101" t="s">
        <v>217</v>
      </c>
      <c r="C618" s="46">
        <v>44347.721018518518</v>
      </c>
      <c r="D618" t="s">
        <v>147</v>
      </c>
      <c r="E618">
        <v>24.99</v>
      </c>
      <c r="F618" t="str">
        <f>VLOOKUP(A618*1,Table2[],5,TRUE)</f>
        <v>20:30:00</v>
      </c>
      <c r="G618" s="46" t="e">
        <f t="shared" si="18"/>
        <v>#VALUE!</v>
      </c>
      <c r="H618" t="e">
        <f t="shared" si="19"/>
        <v>#VALUE!</v>
      </c>
    </row>
    <row r="619" spans="1:8" x14ac:dyDescent="0.25">
      <c r="A619" t="s">
        <v>24</v>
      </c>
      <c r="B619" s="101" t="s">
        <v>217</v>
      </c>
      <c r="C619" s="46">
        <v>44347.721215277779</v>
      </c>
      <c r="D619" t="s">
        <v>147</v>
      </c>
      <c r="E619">
        <v>12.99</v>
      </c>
      <c r="F619" t="str">
        <f>VLOOKUP(A619*1,Table2[],5,TRUE)</f>
        <v>20:30:00</v>
      </c>
      <c r="G619" s="46" t="e">
        <f t="shared" si="18"/>
        <v>#VALUE!</v>
      </c>
      <c r="H619" t="e">
        <f t="shared" si="19"/>
        <v>#VALUE!</v>
      </c>
    </row>
    <row r="620" spans="1:8" x14ac:dyDescent="0.25">
      <c r="A620" t="s">
        <v>24</v>
      </c>
      <c r="B620" s="101" t="s">
        <v>217</v>
      </c>
      <c r="C620" s="46">
        <v>44347.721458333333</v>
      </c>
      <c r="D620" t="s">
        <v>146</v>
      </c>
      <c r="E620">
        <v>49</v>
      </c>
      <c r="F620" t="str">
        <f>VLOOKUP(A620*1,Table2[],5,TRUE)</f>
        <v>20:30:00</v>
      </c>
      <c r="G620" s="46" t="e">
        <f t="shared" si="18"/>
        <v>#VALUE!</v>
      </c>
      <c r="H620" t="e">
        <f t="shared" si="19"/>
        <v>#VALUE!</v>
      </c>
    </row>
    <row r="621" spans="1:8" x14ac:dyDescent="0.25">
      <c r="A621" t="s">
        <v>24</v>
      </c>
      <c r="B621" s="101" t="s">
        <v>217</v>
      </c>
      <c r="C621" s="46">
        <v>44347.72252314815</v>
      </c>
      <c r="D621" t="s">
        <v>146</v>
      </c>
      <c r="E621">
        <v>19.989999999999998</v>
      </c>
      <c r="F621" t="str">
        <f>VLOOKUP(A621*1,Table2[],5,TRUE)</f>
        <v>20:30:00</v>
      </c>
      <c r="G621" s="46" t="e">
        <f t="shared" si="18"/>
        <v>#VALUE!</v>
      </c>
      <c r="H621" t="e">
        <f t="shared" si="19"/>
        <v>#VALUE!</v>
      </c>
    </row>
    <row r="622" spans="1:8" x14ac:dyDescent="0.25">
      <c r="A622" t="s">
        <v>24</v>
      </c>
      <c r="B622" s="101" t="s">
        <v>217</v>
      </c>
      <c r="C622" s="46">
        <v>44347.723402777781</v>
      </c>
      <c r="D622" t="s">
        <v>146</v>
      </c>
      <c r="E622">
        <v>4.2</v>
      </c>
      <c r="F622" t="str">
        <f>VLOOKUP(A622*1,Table2[],5,TRUE)</f>
        <v>20:30:00</v>
      </c>
      <c r="G622" s="46" t="e">
        <f t="shared" si="18"/>
        <v>#VALUE!</v>
      </c>
      <c r="H622" t="e">
        <f t="shared" si="19"/>
        <v>#VALUE!</v>
      </c>
    </row>
    <row r="623" spans="1:8" x14ac:dyDescent="0.25">
      <c r="A623" t="s">
        <v>24</v>
      </c>
      <c r="B623" s="101" t="s">
        <v>217</v>
      </c>
      <c r="C623" s="46">
        <v>44347.723703703705</v>
      </c>
      <c r="D623" t="s">
        <v>146</v>
      </c>
      <c r="E623">
        <v>35.99</v>
      </c>
      <c r="F623" t="str">
        <f>VLOOKUP(A623*1,Table2[],5,TRUE)</f>
        <v>20:30:00</v>
      </c>
      <c r="G623" s="46" t="e">
        <f t="shared" si="18"/>
        <v>#VALUE!</v>
      </c>
      <c r="H623" t="e">
        <f t="shared" si="19"/>
        <v>#VALUE!</v>
      </c>
    </row>
    <row r="624" spans="1:8" x14ac:dyDescent="0.25">
      <c r="A624" t="s">
        <v>24</v>
      </c>
      <c r="B624" s="101" t="s">
        <v>217</v>
      </c>
      <c r="C624" s="46">
        <v>44347.724293981482</v>
      </c>
      <c r="D624" t="s">
        <v>147</v>
      </c>
      <c r="E624">
        <v>12.2</v>
      </c>
      <c r="F624" t="str">
        <f>VLOOKUP(A624*1,Table2[],5,TRUE)</f>
        <v>20:30:00</v>
      </c>
      <c r="G624" s="46" t="e">
        <f t="shared" si="18"/>
        <v>#VALUE!</v>
      </c>
      <c r="H624" t="e">
        <f t="shared" si="19"/>
        <v>#VALUE!</v>
      </c>
    </row>
    <row r="625" spans="1:8" x14ac:dyDescent="0.25">
      <c r="A625" t="s">
        <v>24</v>
      </c>
      <c r="B625" s="101" t="s">
        <v>217</v>
      </c>
      <c r="C625" s="46">
        <v>44347.725752314815</v>
      </c>
      <c r="D625" t="s">
        <v>146</v>
      </c>
      <c r="E625">
        <v>12.99</v>
      </c>
      <c r="F625" t="str">
        <f>VLOOKUP(A625*1,Table2[],5,TRUE)</f>
        <v>20:30:00</v>
      </c>
      <c r="G625" s="46" t="e">
        <f t="shared" si="18"/>
        <v>#VALUE!</v>
      </c>
      <c r="H625" t="e">
        <f t="shared" si="19"/>
        <v>#VALUE!</v>
      </c>
    </row>
    <row r="626" spans="1:8" x14ac:dyDescent="0.25">
      <c r="A626" t="s">
        <v>24</v>
      </c>
      <c r="B626" s="101" t="s">
        <v>217</v>
      </c>
      <c r="C626" s="46">
        <v>44347.726689814815</v>
      </c>
      <c r="D626" t="s">
        <v>147</v>
      </c>
      <c r="E626">
        <v>5</v>
      </c>
      <c r="F626" t="str">
        <f>VLOOKUP(A626*1,Table2[],5,TRUE)</f>
        <v>20:30:00</v>
      </c>
      <c r="G626" s="46" t="e">
        <f t="shared" si="18"/>
        <v>#VALUE!</v>
      </c>
      <c r="H626" t="e">
        <f t="shared" si="19"/>
        <v>#VALUE!</v>
      </c>
    </row>
    <row r="627" spans="1:8" x14ac:dyDescent="0.25">
      <c r="A627" t="s">
        <v>24</v>
      </c>
      <c r="B627" s="101" t="s">
        <v>217</v>
      </c>
      <c r="C627" s="46">
        <v>44347.727777777778</v>
      </c>
      <c r="D627" t="s">
        <v>146</v>
      </c>
      <c r="E627">
        <v>5</v>
      </c>
      <c r="F627" t="str">
        <f>VLOOKUP(A627*1,Table2[],5,TRUE)</f>
        <v>20:30:00</v>
      </c>
      <c r="G627" s="46" t="e">
        <f t="shared" si="18"/>
        <v>#VALUE!</v>
      </c>
      <c r="H627" t="e">
        <f t="shared" si="19"/>
        <v>#VALUE!</v>
      </c>
    </row>
    <row r="628" spans="1:8" x14ac:dyDescent="0.25">
      <c r="A628" t="s">
        <v>24</v>
      </c>
      <c r="B628" s="101" t="s">
        <v>217</v>
      </c>
      <c r="C628" s="46">
        <v>44347.72861111111</v>
      </c>
      <c r="D628" t="s">
        <v>147</v>
      </c>
      <c r="E628">
        <v>8.99</v>
      </c>
      <c r="F628" t="str">
        <f>VLOOKUP(A628*1,Table2[],5,TRUE)</f>
        <v>20:30:00</v>
      </c>
      <c r="G628" s="46" t="e">
        <f t="shared" si="18"/>
        <v>#VALUE!</v>
      </c>
      <c r="H628" t="e">
        <f t="shared" si="19"/>
        <v>#VALUE!</v>
      </c>
    </row>
    <row r="629" spans="1:8" x14ac:dyDescent="0.25">
      <c r="A629" t="s">
        <v>24</v>
      </c>
      <c r="B629" s="101" t="s">
        <v>217</v>
      </c>
      <c r="C629" s="46">
        <v>44347.729861111111</v>
      </c>
      <c r="D629" t="s">
        <v>146</v>
      </c>
      <c r="E629">
        <v>10</v>
      </c>
      <c r="F629" t="str">
        <f>VLOOKUP(A629*1,Table2[],5,TRUE)</f>
        <v>20:30:00</v>
      </c>
      <c r="G629" s="46" t="e">
        <f t="shared" si="18"/>
        <v>#VALUE!</v>
      </c>
      <c r="H629" t="e">
        <f t="shared" si="19"/>
        <v>#VALUE!</v>
      </c>
    </row>
    <row r="630" spans="1:8" x14ac:dyDescent="0.25">
      <c r="A630" t="s">
        <v>24</v>
      </c>
      <c r="B630" s="101" t="s">
        <v>217</v>
      </c>
      <c r="C630" s="46">
        <v>44347.730150462965</v>
      </c>
      <c r="D630" t="s">
        <v>146</v>
      </c>
      <c r="E630">
        <v>9.1999999999999993</v>
      </c>
      <c r="F630" t="str">
        <f>VLOOKUP(A630*1,Table2[],5,TRUE)</f>
        <v>20:30:00</v>
      </c>
      <c r="G630" s="46" t="e">
        <f t="shared" si="18"/>
        <v>#VALUE!</v>
      </c>
      <c r="H630" t="e">
        <f t="shared" si="19"/>
        <v>#VALUE!</v>
      </c>
    </row>
    <row r="631" spans="1:8" x14ac:dyDescent="0.25">
      <c r="A631" t="s">
        <v>24</v>
      </c>
      <c r="B631" s="101" t="s">
        <v>217</v>
      </c>
      <c r="C631" s="46">
        <v>44347.73033564815</v>
      </c>
      <c r="D631" t="s">
        <v>147</v>
      </c>
      <c r="E631">
        <v>7.95</v>
      </c>
      <c r="F631" t="str">
        <f>VLOOKUP(A631*1,Table2[],5,TRUE)</f>
        <v>20:30:00</v>
      </c>
      <c r="G631" s="46" t="e">
        <f t="shared" si="18"/>
        <v>#VALUE!</v>
      </c>
      <c r="H631" t="e">
        <f t="shared" si="19"/>
        <v>#VALUE!</v>
      </c>
    </row>
    <row r="632" spans="1:8" x14ac:dyDescent="0.25">
      <c r="A632" t="s">
        <v>24</v>
      </c>
      <c r="B632" s="101" t="s">
        <v>217</v>
      </c>
      <c r="C632" s="46">
        <v>44347.730555555558</v>
      </c>
      <c r="D632" t="s">
        <v>147</v>
      </c>
      <c r="E632">
        <v>9.1999999999999993</v>
      </c>
      <c r="F632" t="str">
        <f>VLOOKUP(A632*1,Table2[],5,TRUE)</f>
        <v>20:30:00</v>
      </c>
      <c r="G632" s="46" t="e">
        <f t="shared" si="18"/>
        <v>#VALUE!</v>
      </c>
      <c r="H632" t="e">
        <f t="shared" si="19"/>
        <v>#VALUE!</v>
      </c>
    </row>
    <row r="633" spans="1:8" x14ac:dyDescent="0.25">
      <c r="A633" t="s">
        <v>24</v>
      </c>
      <c r="B633" s="101" t="s">
        <v>217</v>
      </c>
      <c r="C633" s="46">
        <v>44347.730821759258</v>
      </c>
      <c r="D633" t="s">
        <v>147</v>
      </c>
      <c r="E633">
        <v>7</v>
      </c>
      <c r="F633" t="str">
        <f>VLOOKUP(A633*1,Table2[],5,TRUE)</f>
        <v>20:30:00</v>
      </c>
      <c r="G633" s="46" t="e">
        <f t="shared" si="18"/>
        <v>#VALUE!</v>
      </c>
      <c r="H633" t="e">
        <f t="shared" si="19"/>
        <v>#VALUE!</v>
      </c>
    </row>
    <row r="634" spans="1:8" x14ac:dyDescent="0.25">
      <c r="A634" t="s">
        <v>24</v>
      </c>
      <c r="B634" s="101" t="s">
        <v>217</v>
      </c>
      <c r="C634" s="46">
        <v>44347.731006944443</v>
      </c>
      <c r="D634" t="s">
        <v>147</v>
      </c>
      <c r="E634">
        <v>4.5999999999999996</v>
      </c>
      <c r="F634" t="str">
        <f>VLOOKUP(A634*1,Table2[],5,TRUE)</f>
        <v>20:30:00</v>
      </c>
      <c r="G634" s="46" t="e">
        <f t="shared" si="18"/>
        <v>#VALUE!</v>
      </c>
      <c r="H634" t="e">
        <f t="shared" si="19"/>
        <v>#VALUE!</v>
      </c>
    </row>
    <row r="635" spans="1:8" x14ac:dyDescent="0.25">
      <c r="A635" t="s">
        <v>24</v>
      </c>
      <c r="B635" s="101" t="s">
        <v>217</v>
      </c>
      <c r="C635" s="46">
        <v>44347.73133101852</v>
      </c>
      <c r="D635" t="s">
        <v>146</v>
      </c>
      <c r="E635">
        <v>5.3</v>
      </c>
      <c r="F635" t="str">
        <f>VLOOKUP(A635*1,Table2[],5,TRUE)</f>
        <v>20:30:00</v>
      </c>
      <c r="G635" s="46" t="e">
        <f t="shared" si="18"/>
        <v>#VALUE!</v>
      </c>
      <c r="H635" t="e">
        <f t="shared" si="19"/>
        <v>#VALUE!</v>
      </c>
    </row>
    <row r="636" spans="1:8" x14ac:dyDescent="0.25">
      <c r="A636" t="s">
        <v>24</v>
      </c>
      <c r="B636" s="101" t="s">
        <v>217</v>
      </c>
      <c r="C636" s="46">
        <v>44347.732256944444</v>
      </c>
      <c r="D636" t="s">
        <v>147</v>
      </c>
      <c r="E636">
        <v>9.6</v>
      </c>
      <c r="F636" t="str">
        <f>VLOOKUP(A636*1,Table2[],5,TRUE)</f>
        <v>20:30:00</v>
      </c>
      <c r="G636" s="46" t="e">
        <f t="shared" si="18"/>
        <v>#VALUE!</v>
      </c>
      <c r="H636" t="e">
        <f t="shared" si="19"/>
        <v>#VALUE!</v>
      </c>
    </row>
    <row r="637" spans="1:8" x14ac:dyDescent="0.25">
      <c r="A637" t="s">
        <v>24</v>
      </c>
      <c r="B637" s="101" t="s">
        <v>217</v>
      </c>
      <c r="C637" s="46">
        <v>44347.732916666668</v>
      </c>
      <c r="D637" t="s">
        <v>146</v>
      </c>
      <c r="E637">
        <v>15.69</v>
      </c>
      <c r="F637" t="str">
        <f>VLOOKUP(A637*1,Table2[],5,TRUE)</f>
        <v>20:30:00</v>
      </c>
      <c r="G637" s="46" t="e">
        <f t="shared" si="18"/>
        <v>#VALUE!</v>
      </c>
      <c r="H637" t="e">
        <f t="shared" si="19"/>
        <v>#VALUE!</v>
      </c>
    </row>
    <row r="638" spans="1:8" x14ac:dyDescent="0.25">
      <c r="A638" t="s">
        <v>24</v>
      </c>
      <c r="B638" s="101" t="s">
        <v>217</v>
      </c>
      <c r="C638" s="46">
        <v>44347.733784722222</v>
      </c>
      <c r="D638" t="s">
        <v>147</v>
      </c>
      <c r="E638">
        <v>5</v>
      </c>
      <c r="F638" t="str">
        <f>VLOOKUP(A638*1,Table2[],5,TRUE)</f>
        <v>20:30:00</v>
      </c>
      <c r="G638" s="46" t="e">
        <f t="shared" si="18"/>
        <v>#VALUE!</v>
      </c>
      <c r="H638" t="e">
        <f t="shared" si="19"/>
        <v>#VALUE!</v>
      </c>
    </row>
    <row r="639" spans="1:8" x14ac:dyDescent="0.25">
      <c r="A639" t="s">
        <v>24</v>
      </c>
      <c r="B639" s="101" t="s">
        <v>217</v>
      </c>
      <c r="C639" s="46">
        <v>44347.734282407408</v>
      </c>
      <c r="D639" t="s">
        <v>146</v>
      </c>
      <c r="E639">
        <v>3.98</v>
      </c>
      <c r="F639" t="str">
        <f>VLOOKUP(A639*1,Table2[],5,TRUE)</f>
        <v>20:30:00</v>
      </c>
      <c r="G639" s="46" t="e">
        <f t="shared" si="18"/>
        <v>#VALUE!</v>
      </c>
      <c r="H639" t="e">
        <f t="shared" si="19"/>
        <v>#VALUE!</v>
      </c>
    </row>
    <row r="640" spans="1:8" x14ac:dyDescent="0.25">
      <c r="A640" t="s">
        <v>24</v>
      </c>
      <c r="B640" s="101" t="s">
        <v>217</v>
      </c>
      <c r="C640" s="46">
        <v>44347.735613425924</v>
      </c>
      <c r="D640" t="s">
        <v>148</v>
      </c>
      <c r="E640">
        <v>5.99</v>
      </c>
      <c r="F640" t="str">
        <f>VLOOKUP(A640*1,Table2[],5,TRUE)</f>
        <v>20:30:00</v>
      </c>
      <c r="G640" s="46" t="e">
        <f t="shared" si="18"/>
        <v>#VALUE!</v>
      </c>
      <c r="H640" t="e">
        <f t="shared" si="19"/>
        <v>#VALUE!</v>
      </c>
    </row>
    <row r="641" spans="1:8" x14ac:dyDescent="0.25">
      <c r="A641" t="s">
        <v>24</v>
      </c>
      <c r="B641" s="101" t="s">
        <v>217</v>
      </c>
      <c r="C641" s="46">
        <v>44347.735844907409</v>
      </c>
      <c r="D641" t="s">
        <v>147</v>
      </c>
      <c r="E641">
        <v>12</v>
      </c>
      <c r="F641" t="str">
        <f>VLOOKUP(A641*1,Table2[],5,TRUE)</f>
        <v>20:30:00</v>
      </c>
      <c r="G641" s="46" t="e">
        <f t="shared" si="18"/>
        <v>#VALUE!</v>
      </c>
      <c r="H641" t="e">
        <f t="shared" si="19"/>
        <v>#VALUE!</v>
      </c>
    </row>
    <row r="642" spans="1:8" x14ac:dyDescent="0.25">
      <c r="A642" t="s">
        <v>24</v>
      </c>
      <c r="B642" s="101" t="s">
        <v>217</v>
      </c>
      <c r="C642" s="46">
        <v>44347.736030092594</v>
      </c>
      <c r="D642" t="s">
        <v>146</v>
      </c>
      <c r="E642">
        <v>4.2</v>
      </c>
      <c r="F642" t="str">
        <f>VLOOKUP(A642*1,Table2[],5,TRUE)</f>
        <v>20:30:00</v>
      </c>
      <c r="G642" s="46" t="e">
        <f t="shared" ref="G642:G705" si="20">DATEVALUE(TEXT($L$2-1,"DD/MM/YYYY"))+TIMEVALUE(TEXT(F642,"HH:MM:SS"))</f>
        <v>#VALUE!</v>
      </c>
      <c r="H642" t="e">
        <f t="shared" ref="H642:H705" si="21">IF(C642&lt;G642,"Before Bank Cut Off",IF(C642&gt;=DATEVALUE($L$2),"After Midnight","In Between"))</f>
        <v>#VALUE!</v>
      </c>
    </row>
    <row r="643" spans="1:8" x14ac:dyDescent="0.25">
      <c r="A643" t="s">
        <v>24</v>
      </c>
      <c r="B643" s="101" t="s">
        <v>217</v>
      </c>
      <c r="C643" s="46">
        <v>44347.736261574071</v>
      </c>
      <c r="D643" t="s">
        <v>146</v>
      </c>
      <c r="E643">
        <v>12.9</v>
      </c>
      <c r="F643" t="str">
        <f>VLOOKUP(A643*1,Table2[],5,TRUE)</f>
        <v>20:30:00</v>
      </c>
      <c r="G643" s="46" t="e">
        <f t="shared" si="20"/>
        <v>#VALUE!</v>
      </c>
      <c r="H643" t="e">
        <f t="shared" si="21"/>
        <v>#VALUE!</v>
      </c>
    </row>
    <row r="644" spans="1:8" x14ac:dyDescent="0.25">
      <c r="A644" t="s">
        <v>24</v>
      </c>
      <c r="B644" s="101" t="s">
        <v>217</v>
      </c>
      <c r="C644" s="46">
        <v>44347.737546296295</v>
      </c>
      <c r="D644" t="s">
        <v>146</v>
      </c>
      <c r="E644">
        <v>10</v>
      </c>
      <c r="F644" t="str">
        <f>VLOOKUP(A644*1,Table2[],5,TRUE)</f>
        <v>20:30:00</v>
      </c>
      <c r="G644" s="46" t="e">
        <f t="shared" si="20"/>
        <v>#VALUE!</v>
      </c>
      <c r="H644" t="e">
        <f t="shared" si="21"/>
        <v>#VALUE!</v>
      </c>
    </row>
    <row r="645" spans="1:8" x14ac:dyDescent="0.25">
      <c r="A645" t="s">
        <v>24</v>
      </c>
      <c r="B645" s="101" t="s">
        <v>217</v>
      </c>
      <c r="C645" s="46">
        <v>44347.738171296296</v>
      </c>
      <c r="D645" t="s">
        <v>147</v>
      </c>
      <c r="E645">
        <v>5</v>
      </c>
      <c r="F645" t="str">
        <f>VLOOKUP(A645*1,Table2[],5,TRUE)</f>
        <v>20:30:00</v>
      </c>
      <c r="G645" s="46" t="e">
        <f t="shared" si="20"/>
        <v>#VALUE!</v>
      </c>
      <c r="H645" t="e">
        <f t="shared" si="21"/>
        <v>#VALUE!</v>
      </c>
    </row>
    <row r="646" spans="1:8" x14ac:dyDescent="0.25">
      <c r="A646" t="s">
        <v>24</v>
      </c>
      <c r="B646" s="101" t="s">
        <v>217</v>
      </c>
      <c r="C646" s="46">
        <v>44347.738576388889</v>
      </c>
      <c r="D646" t="s">
        <v>148</v>
      </c>
      <c r="E646">
        <v>37.799999999999997</v>
      </c>
      <c r="F646" t="str">
        <f>VLOOKUP(A646*1,Table2[],5,TRUE)</f>
        <v>20:30:00</v>
      </c>
      <c r="G646" s="46" t="e">
        <f t="shared" si="20"/>
        <v>#VALUE!</v>
      </c>
      <c r="H646" t="e">
        <f t="shared" si="21"/>
        <v>#VALUE!</v>
      </c>
    </row>
    <row r="647" spans="1:8" x14ac:dyDescent="0.25">
      <c r="A647" t="s">
        <v>24</v>
      </c>
      <c r="B647" s="101" t="s">
        <v>217</v>
      </c>
      <c r="C647" s="46">
        <v>44347.738888888889</v>
      </c>
      <c r="D647" t="s">
        <v>146</v>
      </c>
      <c r="E647">
        <v>6</v>
      </c>
      <c r="F647" t="str">
        <f>VLOOKUP(A647*1,Table2[],5,TRUE)</f>
        <v>20:30:00</v>
      </c>
      <c r="G647" s="46" t="e">
        <f t="shared" si="20"/>
        <v>#VALUE!</v>
      </c>
      <c r="H647" t="e">
        <f t="shared" si="21"/>
        <v>#VALUE!</v>
      </c>
    </row>
    <row r="648" spans="1:8" x14ac:dyDescent="0.25">
      <c r="A648" t="s">
        <v>24</v>
      </c>
      <c r="B648" s="101" t="s">
        <v>217</v>
      </c>
      <c r="C648" s="46">
        <v>44347.741006944445</v>
      </c>
      <c r="D648" t="s">
        <v>146</v>
      </c>
      <c r="E648">
        <v>59.97</v>
      </c>
      <c r="F648" t="str">
        <f>VLOOKUP(A648*1,Table2[],5,TRUE)</f>
        <v>20:30:00</v>
      </c>
      <c r="G648" s="46" t="e">
        <f t="shared" si="20"/>
        <v>#VALUE!</v>
      </c>
      <c r="H648" t="e">
        <f t="shared" si="21"/>
        <v>#VALUE!</v>
      </c>
    </row>
    <row r="649" spans="1:8" x14ac:dyDescent="0.25">
      <c r="A649" t="s">
        <v>24</v>
      </c>
      <c r="B649" s="101" t="s">
        <v>217</v>
      </c>
      <c r="C649" s="46">
        <v>44347.741400462961</v>
      </c>
      <c r="D649" t="s">
        <v>147</v>
      </c>
      <c r="E649">
        <v>30.25</v>
      </c>
      <c r="F649" t="str">
        <f>VLOOKUP(A649*1,Table2[],5,TRUE)</f>
        <v>20:30:00</v>
      </c>
      <c r="G649" s="46" t="e">
        <f t="shared" si="20"/>
        <v>#VALUE!</v>
      </c>
      <c r="H649" t="e">
        <f t="shared" si="21"/>
        <v>#VALUE!</v>
      </c>
    </row>
    <row r="650" spans="1:8" x14ac:dyDescent="0.25">
      <c r="A650" t="s">
        <v>24</v>
      </c>
      <c r="B650" s="101" t="s">
        <v>217</v>
      </c>
      <c r="C650" s="46">
        <v>44347.741770833331</v>
      </c>
      <c r="D650" t="s">
        <v>147</v>
      </c>
      <c r="E650">
        <v>24.74</v>
      </c>
      <c r="F650" t="str">
        <f>VLOOKUP(A650*1,Table2[],5,TRUE)</f>
        <v>20:30:00</v>
      </c>
      <c r="G650" s="46" t="e">
        <f t="shared" si="20"/>
        <v>#VALUE!</v>
      </c>
      <c r="H650" t="e">
        <f t="shared" si="21"/>
        <v>#VALUE!</v>
      </c>
    </row>
    <row r="651" spans="1:8" x14ac:dyDescent="0.25">
      <c r="A651" t="s">
        <v>24</v>
      </c>
      <c r="B651" s="101" t="s">
        <v>217</v>
      </c>
      <c r="C651" s="46">
        <v>44347.742083333331</v>
      </c>
      <c r="D651" t="s">
        <v>147</v>
      </c>
      <c r="E651">
        <v>4</v>
      </c>
      <c r="F651" t="str">
        <f>VLOOKUP(A651*1,Table2[],5,TRUE)</f>
        <v>20:30:00</v>
      </c>
      <c r="G651" s="46" t="e">
        <f t="shared" si="20"/>
        <v>#VALUE!</v>
      </c>
      <c r="H651" t="e">
        <f t="shared" si="21"/>
        <v>#VALUE!</v>
      </c>
    </row>
    <row r="652" spans="1:8" x14ac:dyDescent="0.25">
      <c r="A652" t="s">
        <v>24</v>
      </c>
      <c r="B652" s="101" t="s">
        <v>208</v>
      </c>
      <c r="C652" s="46">
        <v>44347.742465277777</v>
      </c>
      <c r="D652" t="s">
        <v>148</v>
      </c>
      <c r="E652">
        <v>2.2000000000000002</v>
      </c>
      <c r="F652" t="str">
        <f>VLOOKUP(A652*1,Table2[],5,TRUE)</f>
        <v>20:30:00</v>
      </c>
      <c r="G652" s="46" t="e">
        <f t="shared" si="20"/>
        <v>#VALUE!</v>
      </c>
      <c r="H652" t="e">
        <f t="shared" si="21"/>
        <v>#VALUE!</v>
      </c>
    </row>
    <row r="653" spans="1:8" x14ac:dyDescent="0.25">
      <c r="A653" t="s">
        <v>24</v>
      </c>
      <c r="B653" s="101" t="s">
        <v>217</v>
      </c>
      <c r="C653" s="46">
        <v>44347.743263888886</v>
      </c>
      <c r="D653" t="s">
        <v>146</v>
      </c>
      <c r="E653">
        <v>7.4</v>
      </c>
      <c r="F653" t="str">
        <f>VLOOKUP(A653*1,Table2[],5,TRUE)</f>
        <v>20:30:00</v>
      </c>
      <c r="G653" s="46" t="e">
        <f t="shared" si="20"/>
        <v>#VALUE!</v>
      </c>
      <c r="H653" t="e">
        <f t="shared" si="21"/>
        <v>#VALUE!</v>
      </c>
    </row>
    <row r="654" spans="1:8" x14ac:dyDescent="0.25">
      <c r="A654" t="s">
        <v>24</v>
      </c>
      <c r="B654" s="101" t="s">
        <v>208</v>
      </c>
      <c r="C654" s="46">
        <v>44347.744803240741</v>
      </c>
      <c r="D654" t="s">
        <v>148</v>
      </c>
      <c r="E654">
        <v>3.2</v>
      </c>
      <c r="F654" t="str">
        <f>VLOOKUP(A654*1,Table2[],5,TRUE)</f>
        <v>20:30:00</v>
      </c>
      <c r="G654" s="46" t="e">
        <f t="shared" si="20"/>
        <v>#VALUE!</v>
      </c>
      <c r="H654" t="e">
        <f t="shared" si="21"/>
        <v>#VALUE!</v>
      </c>
    </row>
    <row r="655" spans="1:8" x14ac:dyDescent="0.25">
      <c r="A655" t="s">
        <v>24</v>
      </c>
      <c r="B655" s="101" t="s">
        <v>217</v>
      </c>
      <c r="C655" s="46">
        <v>44347.750868055555</v>
      </c>
      <c r="D655" t="s">
        <v>146</v>
      </c>
      <c r="E655">
        <v>1.1100000000000001</v>
      </c>
      <c r="F655" t="str">
        <f>VLOOKUP(A655*1,Table2[],5,TRUE)</f>
        <v>20:30:00</v>
      </c>
      <c r="G655" s="46" t="e">
        <f t="shared" si="20"/>
        <v>#VALUE!</v>
      </c>
      <c r="H655" t="e">
        <f t="shared" si="21"/>
        <v>#VALUE!</v>
      </c>
    </row>
    <row r="656" spans="1:8" x14ac:dyDescent="0.25">
      <c r="A656" t="s">
        <v>24</v>
      </c>
      <c r="B656" s="101" t="s">
        <v>208</v>
      </c>
      <c r="C656" s="46">
        <v>44347.941793981481</v>
      </c>
      <c r="D656" t="s">
        <v>146</v>
      </c>
      <c r="E656">
        <v>9.99</v>
      </c>
      <c r="F656" t="str">
        <f>VLOOKUP(A656*1,Table2[],5,TRUE)</f>
        <v>20:30:00</v>
      </c>
      <c r="G656" s="46" t="e">
        <f t="shared" si="20"/>
        <v>#VALUE!</v>
      </c>
      <c r="H656" t="e">
        <f t="shared" si="21"/>
        <v>#VALUE!</v>
      </c>
    </row>
    <row r="657" spans="1:8" x14ac:dyDescent="0.25">
      <c r="A657" t="s">
        <v>24</v>
      </c>
      <c r="B657" s="101" t="s">
        <v>217</v>
      </c>
      <c r="C657" s="46">
        <v>44347.947569444441</v>
      </c>
      <c r="D657" t="s">
        <v>146</v>
      </c>
      <c r="E657">
        <v>4.75</v>
      </c>
      <c r="F657" t="str">
        <f>VLOOKUP(A657*1,Table2[],5,TRUE)</f>
        <v>20:30:00</v>
      </c>
      <c r="G657" s="46" t="e">
        <f t="shared" si="20"/>
        <v>#VALUE!</v>
      </c>
      <c r="H657" t="e">
        <f t="shared" si="21"/>
        <v>#VALUE!</v>
      </c>
    </row>
    <row r="658" spans="1:8" x14ac:dyDescent="0.25">
      <c r="A658" t="s">
        <v>24</v>
      </c>
      <c r="B658" s="101" t="s">
        <v>217</v>
      </c>
      <c r="C658" s="46">
        <v>44347.947939814818</v>
      </c>
      <c r="D658" t="s">
        <v>147</v>
      </c>
      <c r="E658">
        <v>5</v>
      </c>
      <c r="F658" t="str">
        <f>VLOOKUP(A658*1,Table2[],5,TRUE)</f>
        <v>20:30:00</v>
      </c>
      <c r="G658" s="46" t="e">
        <f t="shared" si="20"/>
        <v>#VALUE!</v>
      </c>
      <c r="H658" t="e">
        <f t="shared" si="21"/>
        <v>#VALUE!</v>
      </c>
    </row>
    <row r="659" spans="1:8" x14ac:dyDescent="0.25">
      <c r="A659" t="s">
        <v>24</v>
      </c>
      <c r="B659" s="101" t="s">
        <v>208</v>
      </c>
      <c r="C659" s="46">
        <v>44347.948136574072</v>
      </c>
      <c r="D659" t="s">
        <v>146</v>
      </c>
      <c r="E659">
        <v>5</v>
      </c>
      <c r="F659" t="str">
        <f>VLOOKUP(A659*1,Table2[],5,TRUE)</f>
        <v>20:30:00</v>
      </c>
      <c r="G659" s="46" t="e">
        <f t="shared" si="20"/>
        <v>#VALUE!</v>
      </c>
      <c r="H659" t="e">
        <f t="shared" si="21"/>
        <v>#VALUE!</v>
      </c>
    </row>
    <row r="660" spans="1:8" x14ac:dyDescent="0.25">
      <c r="A660" t="s">
        <v>24</v>
      </c>
      <c r="B660" s="101" t="s">
        <v>217</v>
      </c>
      <c r="C660" s="46">
        <v>44347.951168981483</v>
      </c>
      <c r="D660" t="s">
        <v>148</v>
      </c>
      <c r="E660">
        <v>243.94</v>
      </c>
      <c r="F660" t="str">
        <f>VLOOKUP(A660*1,Table2[],5,TRUE)</f>
        <v>20:30:00</v>
      </c>
      <c r="G660" s="46" t="e">
        <f t="shared" si="20"/>
        <v>#VALUE!</v>
      </c>
      <c r="H660" t="e">
        <f t="shared" si="21"/>
        <v>#VALUE!</v>
      </c>
    </row>
    <row r="661" spans="1:8" x14ac:dyDescent="0.25">
      <c r="A661" t="s">
        <v>24</v>
      </c>
      <c r="B661" s="101" t="s">
        <v>208</v>
      </c>
      <c r="C661" s="46">
        <v>44347.951249999998</v>
      </c>
      <c r="D661" t="s">
        <v>147</v>
      </c>
      <c r="E661">
        <v>5</v>
      </c>
      <c r="F661" t="str">
        <f>VLOOKUP(A661*1,Table2[],5,TRUE)</f>
        <v>20:30:00</v>
      </c>
      <c r="G661" s="46" t="e">
        <f t="shared" si="20"/>
        <v>#VALUE!</v>
      </c>
      <c r="H661" t="e">
        <f t="shared" si="21"/>
        <v>#VALUE!</v>
      </c>
    </row>
    <row r="662" spans="1:8" x14ac:dyDescent="0.25">
      <c r="A662" t="s">
        <v>24</v>
      </c>
      <c r="B662" s="101" t="s">
        <v>208</v>
      </c>
      <c r="C662" s="46">
        <v>44347.961400462962</v>
      </c>
      <c r="D662" t="s">
        <v>146</v>
      </c>
      <c r="E662">
        <v>5.95</v>
      </c>
      <c r="F662" t="str">
        <f>VLOOKUP(A662*1,Table2[],5,TRUE)</f>
        <v>20:30:00</v>
      </c>
      <c r="G662" s="46" t="e">
        <f t="shared" si="20"/>
        <v>#VALUE!</v>
      </c>
      <c r="H662" t="e">
        <f t="shared" si="21"/>
        <v>#VALUE!</v>
      </c>
    </row>
    <row r="663" spans="1:8" x14ac:dyDescent="0.25">
      <c r="A663" t="s">
        <v>24</v>
      </c>
      <c r="B663" s="101" t="s">
        <v>217</v>
      </c>
      <c r="C663" s="46">
        <v>44347.961493055554</v>
      </c>
      <c r="D663" t="s">
        <v>147</v>
      </c>
      <c r="E663">
        <v>40.15</v>
      </c>
      <c r="F663" t="str">
        <f>VLOOKUP(A663*1,Table2[],5,TRUE)</f>
        <v>20:30:00</v>
      </c>
      <c r="G663" s="46" t="e">
        <f t="shared" si="20"/>
        <v>#VALUE!</v>
      </c>
      <c r="H663" t="e">
        <f t="shared" si="21"/>
        <v>#VALUE!</v>
      </c>
    </row>
    <row r="664" spans="1:8" x14ac:dyDescent="0.25">
      <c r="A664" t="s">
        <v>24</v>
      </c>
      <c r="B664" s="101" t="s">
        <v>217</v>
      </c>
      <c r="C664" s="46">
        <v>44347.962488425925</v>
      </c>
      <c r="D664" t="s">
        <v>146</v>
      </c>
      <c r="E664">
        <v>2.6</v>
      </c>
      <c r="F664" t="str">
        <f>VLOOKUP(A664*1,Table2[],5,TRUE)</f>
        <v>20:30:00</v>
      </c>
      <c r="G664" s="46" t="e">
        <f t="shared" si="20"/>
        <v>#VALUE!</v>
      </c>
      <c r="H664" t="e">
        <f t="shared" si="21"/>
        <v>#VALUE!</v>
      </c>
    </row>
    <row r="665" spans="1:8" x14ac:dyDescent="0.25">
      <c r="A665" t="s">
        <v>24</v>
      </c>
      <c r="B665" s="101" t="s">
        <v>208</v>
      </c>
      <c r="C665" s="46">
        <v>44347.966493055559</v>
      </c>
      <c r="D665" t="s">
        <v>146</v>
      </c>
      <c r="E665">
        <v>4</v>
      </c>
      <c r="F665" t="str">
        <f>VLOOKUP(A665*1,Table2[],5,TRUE)</f>
        <v>20:30:00</v>
      </c>
      <c r="G665" s="46" t="e">
        <f t="shared" si="20"/>
        <v>#VALUE!</v>
      </c>
      <c r="H665" t="e">
        <f t="shared" si="21"/>
        <v>#VALUE!</v>
      </c>
    </row>
    <row r="666" spans="1:8" x14ac:dyDescent="0.25">
      <c r="A666" t="s">
        <v>24</v>
      </c>
      <c r="B666" s="101" t="s">
        <v>217</v>
      </c>
      <c r="C666" s="46">
        <v>44347.968611111108</v>
      </c>
      <c r="D666" t="s">
        <v>146</v>
      </c>
      <c r="E666">
        <v>11.1</v>
      </c>
      <c r="F666" t="str">
        <f>VLOOKUP(A666*1,Table2[],5,TRUE)</f>
        <v>20:30:00</v>
      </c>
      <c r="G666" s="46" t="e">
        <f t="shared" si="20"/>
        <v>#VALUE!</v>
      </c>
      <c r="H666" t="e">
        <f t="shared" si="21"/>
        <v>#VALUE!</v>
      </c>
    </row>
    <row r="667" spans="1:8" x14ac:dyDescent="0.25">
      <c r="A667" t="s">
        <v>24</v>
      </c>
      <c r="B667" s="101" t="s">
        <v>208</v>
      </c>
      <c r="C667" s="46">
        <v>44347.97965277778</v>
      </c>
      <c r="D667" t="s">
        <v>146</v>
      </c>
      <c r="E667">
        <v>9.6999999999999993</v>
      </c>
      <c r="F667" t="str">
        <f>VLOOKUP(A667*1,Table2[],5,TRUE)</f>
        <v>20:30:00</v>
      </c>
      <c r="G667" s="46" t="e">
        <f t="shared" si="20"/>
        <v>#VALUE!</v>
      </c>
      <c r="H667" t="e">
        <f t="shared" si="21"/>
        <v>#VALUE!</v>
      </c>
    </row>
    <row r="668" spans="1:8" x14ac:dyDescent="0.25">
      <c r="A668" t="s">
        <v>24</v>
      </c>
      <c r="B668" s="101" t="s">
        <v>208</v>
      </c>
      <c r="C668" s="46">
        <v>44347.984502314815</v>
      </c>
      <c r="D668" t="s">
        <v>148</v>
      </c>
      <c r="E668">
        <v>4.99</v>
      </c>
      <c r="F668" t="str">
        <f>VLOOKUP(A668*1,Table2[],5,TRUE)</f>
        <v>20:30:00</v>
      </c>
      <c r="G668" s="46" t="e">
        <f t="shared" si="20"/>
        <v>#VALUE!</v>
      </c>
      <c r="H668" t="e">
        <f t="shared" si="21"/>
        <v>#VALUE!</v>
      </c>
    </row>
    <row r="669" spans="1:8" x14ac:dyDescent="0.25">
      <c r="A669" t="s">
        <v>24</v>
      </c>
      <c r="B669" s="101" t="s">
        <v>217</v>
      </c>
      <c r="C669" s="46">
        <v>44347.986527777779</v>
      </c>
      <c r="D669" t="s">
        <v>146</v>
      </c>
      <c r="E669">
        <v>6</v>
      </c>
      <c r="F669" t="str">
        <f>VLOOKUP(A669*1,Table2[],5,TRUE)</f>
        <v>20:30:00</v>
      </c>
      <c r="G669" s="46" t="e">
        <f t="shared" si="20"/>
        <v>#VALUE!</v>
      </c>
      <c r="H669" t="e">
        <f t="shared" si="21"/>
        <v>#VALUE!</v>
      </c>
    </row>
    <row r="670" spans="1:8" x14ac:dyDescent="0.25">
      <c r="A670" t="s">
        <v>24</v>
      </c>
      <c r="B670" s="101" t="s">
        <v>217</v>
      </c>
      <c r="C670" s="46">
        <v>44347.988495370373</v>
      </c>
      <c r="D670" t="s">
        <v>146</v>
      </c>
      <c r="E670">
        <v>14.9</v>
      </c>
      <c r="F670" t="str">
        <f>VLOOKUP(A670*1,Table2[],5,TRUE)</f>
        <v>20:30:00</v>
      </c>
      <c r="G670" s="46" t="e">
        <f t="shared" si="20"/>
        <v>#VALUE!</v>
      </c>
      <c r="H670" t="e">
        <f t="shared" si="21"/>
        <v>#VALUE!</v>
      </c>
    </row>
    <row r="671" spans="1:8" x14ac:dyDescent="0.25">
      <c r="A671" t="s">
        <v>24</v>
      </c>
      <c r="B671" s="101" t="s">
        <v>217</v>
      </c>
      <c r="C671" s="46">
        <v>44347.98951388889</v>
      </c>
      <c r="D671" t="s">
        <v>147</v>
      </c>
      <c r="E671">
        <v>11.48</v>
      </c>
      <c r="F671" t="str">
        <f>VLOOKUP(A671*1,Table2[],5,TRUE)</f>
        <v>20:30:00</v>
      </c>
      <c r="G671" s="46" t="e">
        <f t="shared" si="20"/>
        <v>#VALUE!</v>
      </c>
      <c r="H671" t="e">
        <f t="shared" si="21"/>
        <v>#VALUE!</v>
      </c>
    </row>
    <row r="672" spans="1:8" x14ac:dyDescent="0.25">
      <c r="A672" t="s">
        <v>24</v>
      </c>
      <c r="B672" s="101" t="s">
        <v>217</v>
      </c>
      <c r="C672" s="46">
        <v>44347.992025462961</v>
      </c>
      <c r="D672" t="s">
        <v>148</v>
      </c>
      <c r="E672">
        <v>29.49</v>
      </c>
      <c r="F672" t="str">
        <f>VLOOKUP(A672*1,Table2[],5,TRUE)</f>
        <v>20:30:00</v>
      </c>
      <c r="G672" s="46" t="e">
        <f t="shared" si="20"/>
        <v>#VALUE!</v>
      </c>
      <c r="H672" t="e">
        <f t="shared" si="21"/>
        <v>#VALUE!</v>
      </c>
    </row>
    <row r="673" spans="1:8" x14ac:dyDescent="0.25">
      <c r="A673" t="s">
        <v>24</v>
      </c>
      <c r="B673" s="101" t="s">
        <v>217</v>
      </c>
      <c r="C673" s="46">
        <v>44347.994317129633</v>
      </c>
      <c r="D673" t="s">
        <v>147</v>
      </c>
      <c r="E673">
        <v>4.5</v>
      </c>
      <c r="F673" t="str">
        <f>VLOOKUP(A673*1,Table2[],5,TRUE)</f>
        <v>20:30:00</v>
      </c>
      <c r="G673" s="46" t="e">
        <f t="shared" si="20"/>
        <v>#VALUE!</v>
      </c>
      <c r="H673" t="e">
        <f t="shared" si="21"/>
        <v>#VALUE!</v>
      </c>
    </row>
    <row r="674" spans="1:8" x14ac:dyDescent="0.25">
      <c r="A674" t="s">
        <v>24</v>
      </c>
      <c r="B674" s="101" t="s">
        <v>217</v>
      </c>
      <c r="C674" s="46">
        <v>44348.002222222225</v>
      </c>
      <c r="D674" t="s">
        <v>148</v>
      </c>
      <c r="E674">
        <v>5</v>
      </c>
      <c r="F674" t="str">
        <f>VLOOKUP(A674*1,Table2[],5,TRUE)</f>
        <v>20:30:00</v>
      </c>
      <c r="G674" s="46" t="e">
        <f t="shared" si="20"/>
        <v>#VALUE!</v>
      </c>
      <c r="H674" t="e">
        <f t="shared" si="21"/>
        <v>#VALUE!</v>
      </c>
    </row>
    <row r="675" spans="1:8" x14ac:dyDescent="0.25">
      <c r="A675" t="s">
        <v>24</v>
      </c>
      <c r="B675" s="101" t="s">
        <v>217</v>
      </c>
      <c r="C675" s="46">
        <v>44348.002847222226</v>
      </c>
      <c r="D675" t="s">
        <v>146</v>
      </c>
      <c r="E675">
        <v>29.95</v>
      </c>
      <c r="F675" t="str">
        <f>VLOOKUP(A675*1,Table2[],5,TRUE)</f>
        <v>20:30:00</v>
      </c>
      <c r="G675" s="46" t="e">
        <f t="shared" si="20"/>
        <v>#VALUE!</v>
      </c>
      <c r="H675" t="e">
        <f t="shared" si="21"/>
        <v>#VALUE!</v>
      </c>
    </row>
    <row r="676" spans="1:8" x14ac:dyDescent="0.25">
      <c r="A676" t="s">
        <v>24</v>
      </c>
      <c r="B676" s="101" t="s">
        <v>208</v>
      </c>
      <c r="C676" s="46">
        <v>44348.004525462966</v>
      </c>
      <c r="D676" t="s">
        <v>147</v>
      </c>
      <c r="E676">
        <v>16.600000000000001</v>
      </c>
      <c r="F676" t="str">
        <f>VLOOKUP(A676*1,Table2[],5,TRUE)</f>
        <v>20:30:00</v>
      </c>
      <c r="G676" s="46" t="e">
        <f t="shared" si="20"/>
        <v>#VALUE!</v>
      </c>
      <c r="H676" t="e">
        <f t="shared" si="21"/>
        <v>#VALUE!</v>
      </c>
    </row>
    <row r="677" spans="1:8" x14ac:dyDescent="0.25">
      <c r="A677" t="s">
        <v>24</v>
      </c>
      <c r="B677" s="101" t="s">
        <v>208</v>
      </c>
      <c r="C677" s="46">
        <v>44348.010381944441</v>
      </c>
      <c r="D677" t="s">
        <v>146</v>
      </c>
      <c r="E677">
        <v>5</v>
      </c>
      <c r="F677" t="str">
        <f>VLOOKUP(A677*1,Table2[],5,TRUE)</f>
        <v>20:30:00</v>
      </c>
      <c r="G677" s="46" t="e">
        <f t="shared" si="20"/>
        <v>#VALUE!</v>
      </c>
      <c r="H677" t="e">
        <f t="shared" si="21"/>
        <v>#VALUE!</v>
      </c>
    </row>
    <row r="679" spans="1:8" x14ac:dyDescent="0.25">
      <c r="A679" t="s">
        <v>24</v>
      </c>
      <c r="B679" s="101" t="s">
        <v>208</v>
      </c>
      <c r="C679" s="46">
        <v>44348.018611111111</v>
      </c>
      <c r="D679" t="s">
        <v>147</v>
      </c>
      <c r="E679">
        <v>21.19</v>
      </c>
      <c r="F679" t="str">
        <f>VLOOKUP(A679*1,Table2[],5,TRUE)</f>
        <v>20:30:00</v>
      </c>
      <c r="G679" s="46" t="e">
        <f t="shared" si="20"/>
        <v>#VALUE!</v>
      </c>
      <c r="H679" t="e">
        <f t="shared" si="21"/>
        <v>#VALUE!</v>
      </c>
    </row>
    <row r="680" spans="1:8" x14ac:dyDescent="0.25">
      <c r="A680" t="s">
        <v>24</v>
      </c>
      <c r="B680" s="101" t="s">
        <v>208</v>
      </c>
      <c r="C680" s="46">
        <v>44348.019421296296</v>
      </c>
      <c r="D680" t="s">
        <v>146</v>
      </c>
      <c r="E680">
        <v>66.14</v>
      </c>
      <c r="F680" t="str">
        <f>VLOOKUP(A680*1,Table2[],5,TRUE)</f>
        <v>20:30:00</v>
      </c>
      <c r="G680" s="46" t="e">
        <f t="shared" si="20"/>
        <v>#VALUE!</v>
      </c>
      <c r="H680" t="e">
        <f t="shared" si="21"/>
        <v>#VALUE!</v>
      </c>
    </row>
    <row r="681" spans="1:8" x14ac:dyDescent="0.25">
      <c r="A681" t="s">
        <v>24</v>
      </c>
      <c r="B681" s="101" t="s">
        <v>208</v>
      </c>
      <c r="C681" s="46">
        <v>44348.021793981483</v>
      </c>
      <c r="D681" t="s">
        <v>146</v>
      </c>
      <c r="E681">
        <v>3.2</v>
      </c>
      <c r="F681" t="str">
        <f>VLOOKUP(A681*1,Table2[],5,TRUE)</f>
        <v>20:30:00</v>
      </c>
      <c r="G681" s="46" t="e">
        <f t="shared" si="20"/>
        <v>#VALUE!</v>
      </c>
      <c r="H681" t="e">
        <f t="shared" si="21"/>
        <v>#VALUE!</v>
      </c>
    </row>
    <row r="682" spans="1:8" x14ac:dyDescent="0.25">
      <c r="A682" t="s">
        <v>24</v>
      </c>
      <c r="B682" s="101" t="s">
        <v>217</v>
      </c>
      <c r="C682" s="46">
        <v>44348.022083333337</v>
      </c>
      <c r="D682" t="s">
        <v>148</v>
      </c>
      <c r="E682">
        <v>59.99</v>
      </c>
      <c r="F682" t="str">
        <f>VLOOKUP(A682*1,Table2[],5,TRUE)</f>
        <v>20:30:00</v>
      </c>
      <c r="G682" s="46" t="e">
        <f t="shared" si="20"/>
        <v>#VALUE!</v>
      </c>
      <c r="H682" t="e">
        <f t="shared" si="21"/>
        <v>#VALUE!</v>
      </c>
    </row>
    <row r="683" spans="1:8" x14ac:dyDescent="0.25">
      <c r="A683" t="s">
        <v>24</v>
      </c>
      <c r="B683" s="101" t="s">
        <v>208</v>
      </c>
      <c r="C683" s="46">
        <v>44348.022418981483</v>
      </c>
      <c r="D683" t="s">
        <v>146</v>
      </c>
      <c r="E683">
        <v>18.2</v>
      </c>
      <c r="F683" t="str">
        <f>VLOOKUP(A683*1,Table2[],5,TRUE)</f>
        <v>20:30:00</v>
      </c>
      <c r="G683" s="46" t="e">
        <f t="shared" si="20"/>
        <v>#VALUE!</v>
      </c>
      <c r="H683" t="e">
        <f t="shared" si="21"/>
        <v>#VALUE!</v>
      </c>
    </row>
    <row r="684" spans="1:8" x14ac:dyDescent="0.25">
      <c r="A684" t="s">
        <v>24</v>
      </c>
      <c r="B684" s="101" t="s">
        <v>217</v>
      </c>
      <c r="C684" s="46">
        <v>44348.022777777776</v>
      </c>
      <c r="D684" t="s">
        <v>146</v>
      </c>
      <c r="E684">
        <v>34.950000000000003</v>
      </c>
      <c r="F684" t="str">
        <f>VLOOKUP(A684*1,Table2[],5,TRUE)</f>
        <v>20:30:00</v>
      </c>
      <c r="G684" s="46" t="e">
        <f t="shared" si="20"/>
        <v>#VALUE!</v>
      </c>
      <c r="H684" t="e">
        <f t="shared" si="21"/>
        <v>#VALUE!</v>
      </c>
    </row>
    <row r="685" spans="1:8" x14ac:dyDescent="0.25">
      <c r="A685" t="s">
        <v>24</v>
      </c>
      <c r="B685" s="101" t="s">
        <v>208</v>
      </c>
      <c r="C685" s="46">
        <v>44348.022800925923</v>
      </c>
      <c r="D685" t="s">
        <v>147</v>
      </c>
      <c r="E685">
        <v>6.2</v>
      </c>
      <c r="F685" t="str">
        <f>VLOOKUP(A685*1,Table2[],5,TRUE)</f>
        <v>20:30:00</v>
      </c>
      <c r="G685" s="46" t="e">
        <f t="shared" si="20"/>
        <v>#VALUE!</v>
      </c>
      <c r="H685" t="e">
        <f t="shared" si="21"/>
        <v>#VALUE!</v>
      </c>
    </row>
    <row r="686" spans="1:8" x14ac:dyDescent="0.25">
      <c r="A686" t="s">
        <v>24</v>
      </c>
      <c r="B686" s="101" t="s">
        <v>208</v>
      </c>
      <c r="C686" s="46">
        <v>44348.023182870369</v>
      </c>
      <c r="D686" t="s">
        <v>146</v>
      </c>
      <c r="E686">
        <v>26.25</v>
      </c>
      <c r="F686" t="str">
        <f>VLOOKUP(A686*1,Table2[],5,TRUE)</f>
        <v>20:30:00</v>
      </c>
      <c r="G686" s="46" t="e">
        <f t="shared" si="20"/>
        <v>#VALUE!</v>
      </c>
      <c r="H686" t="e">
        <f t="shared" si="21"/>
        <v>#VALUE!</v>
      </c>
    </row>
    <row r="687" spans="1:8" x14ac:dyDescent="0.25">
      <c r="A687" t="s">
        <v>24</v>
      </c>
      <c r="B687" s="101" t="s">
        <v>208</v>
      </c>
      <c r="C687" s="46">
        <v>44348.024791666663</v>
      </c>
      <c r="D687" t="s">
        <v>147</v>
      </c>
      <c r="E687">
        <v>10.8</v>
      </c>
      <c r="F687" t="str">
        <f>VLOOKUP(A687*1,Table2[],5,TRUE)</f>
        <v>20:30:00</v>
      </c>
      <c r="G687" s="46" t="e">
        <f t="shared" si="20"/>
        <v>#VALUE!</v>
      </c>
      <c r="H687" t="e">
        <f t="shared" si="21"/>
        <v>#VALUE!</v>
      </c>
    </row>
    <row r="688" spans="1:8" x14ac:dyDescent="0.25">
      <c r="A688" t="s">
        <v>24</v>
      </c>
      <c r="B688" s="101" t="s">
        <v>217</v>
      </c>
      <c r="C688" s="46">
        <v>44348.02484953704</v>
      </c>
      <c r="D688" t="s">
        <v>147</v>
      </c>
      <c r="E688">
        <v>5.5</v>
      </c>
      <c r="F688" t="str">
        <f>VLOOKUP(A688*1,Table2[],5,TRUE)</f>
        <v>20:30:00</v>
      </c>
      <c r="G688" s="46" t="e">
        <f t="shared" si="20"/>
        <v>#VALUE!</v>
      </c>
      <c r="H688" t="e">
        <f t="shared" si="21"/>
        <v>#VALUE!</v>
      </c>
    </row>
    <row r="689" spans="1:8" x14ac:dyDescent="0.25">
      <c r="A689" t="s">
        <v>24</v>
      </c>
      <c r="B689" s="101" t="s">
        <v>208</v>
      </c>
      <c r="C689" s="46">
        <v>44348.026655092595</v>
      </c>
      <c r="D689" t="s">
        <v>147</v>
      </c>
      <c r="E689">
        <v>13.1</v>
      </c>
      <c r="F689" t="str">
        <f>VLOOKUP(A689*1,Table2[],5,TRUE)</f>
        <v>20:30:00</v>
      </c>
      <c r="G689" s="46" t="e">
        <f t="shared" si="20"/>
        <v>#VALUE!</v>
      </c>
      <c r="H689" t="e">
        <f t="shared" si="21"/>
        <v>#VALUE!</v>
      </c>
    </row>
    <row r="690" spans="1:8" x14ac:dyDescent="0.25">
      <c r="A690" t="s">
        <v>24</v>
      </c>
      <c r="B690" s="101" t="s">
        <v>208</v>
      </c>
      <c r="C690" s="46">
        <v>44348.028090277781</v>
      </c>
      <c r="D690" t="s">
        <v>147</v>
      </c>
      <c r="E690">
        <v>3.6</v>
      </c>
      <c r="F690" t="str">
        <f>VLOOKUP(A690*1,Table2[],5,TRUE)</f>
        <v>20:30:00</v>
      </c>
      <c r="G690" s="46" t="e">
        <f t="shared" si="20"/>
        <v>#VALUE!</v>
      </c>
      <c r="H690" t="e">
        <f t="shared" si="21"/>
        <v>#VALUE!</v>
      </c>
    </row>
    <row r="691" spans="1:8" x14ac:dyDescent="0.25">
      <c r="A691" t="s">
        <v>24</v>
      </c>
      <c r="B691" s="101" t="s">
        <v>208</v>
      </c>
      <c r="C691" s="46">
        <v>44348.029467592591</v>
      </c>
      <c r="D691" t="s">
        <v>147</v>
      </c>
      <c r="E691">
        <v>6.2</v>
      </c>
      <c r="F691" t="str">
        <f>VLOOKUP(A691*1,Table2[],5,TRUE)</f>
        <v>20:30:00</v>
      </c>
      <c r="G691" s="46" t="e">
        <f t="shared" si="20"/>
        <v>#VALUE!</v>
      </c>
      <c r="H691" t="e">
        <f t="shared" si="21"/>
        <v>#VALUE!</v>
      </c>
    </row>
    <row r="692" spans="1:8" x14ac:dyDescent="0.25">
      <c r="A692" t="s">
        <v>24</v>
      </c>
      <c r="B692" s="101" t="s">
        <v>208</v>
      </c>
      <c r="C692" s="46">
        <v>44348.032812500001</v>
      </c>
      <c r="D692" t="s">
        <v>147</v>
      </c>
      <c r="E692">
        <v>9.5</v>
      </c>
      <c r="F692" t="str">
        <f>VLOOKUP(A692*1,Table2[],5,TRUE)</f>
        <v>20:30:00</v>
      </c>
      <c r="G692" s="46" t="e">
        <f t="shared" si="20"/>
        <v>#VALUE!</v>
      </c>
      <c r="H692" t="e">
        <f t="shared" si="21"/>
        <v>#VALUE!</v>
      </c>
    </row>
    <row r="693" spans="1:8" x14ac:dyDescent="0.25">
      <c r="A693" t="s">
        <v>24</v>
      </c>
      <c r="B693" s="101" t="s">
        <v>208</v>
      </c>
      <c r="C693" s="46">
        <v>44348.034467592595</v>
      </c>
      <c r="D693" t="s">
        <v>147</v>
      </c>
      <c r="E693">
        <v>4.5999999999999996</v>
      </c>
      <c r="F693" t="str">
        <f>VLOOKUP(A693*1,Table2[],5,TRUE)</f>
        <v>20:30:00</v>
      </c>
      <c r="G693" s="46" t="e">
        <f t="shared" si="20"/>
        <v>#VALUE!</v>
      </c>
      <c r="H693" t="e">
        <f t="shared" si="21"/>
        <v>#VALUE!</v>
      </c>
    </row>
    <row r="694" spans="1:8" x14ac:dyDescent="0.25">
      <c r="A694" t="s">
        <v>24</v>
      </c>
      <c r="B694" s="101" t="s">
        <v>217</v>
      </c>
      <c r="C694" s="46">
        <v>44348.036423611113</v>
      </c>
      <c r="D694" t="s">
        <v>146</v>
      </c>
      <c r="E694">
        <v>4.5</v>
      </c>
      <c r="F694" t="str">
        <f>VLOOKUP(A694*1,Table2[],5,TRUE)</f>
        <v>20:30:00</v>
      </c>
      <c r="G694" s="46" t="e">
        <f t="shared" si="20"/>
        <v>#VALUE!</v>
      </c>
      <c r="H694" t="e">
        <f t="shared" si="21"/>
        <v>#VALUE!</v>
      </c>
    </row>
    <row r="696" spans="1:8" x14ac:dyDescent="0.25">
      <c r="A696" t="s">
        <v>24</v>
      </c>
      <c r="B696" s="101" t="s">
        <v>208</v>
      </c>
      <c r="C696" s="46">
        <v>44348.036504629628</v>
      </c>
      <c r="D696" t="s">
        <v>146</v>
      </c>
      <c r="E696">
        <v>6.7</v>
      </c>
      <c r="F696" t="str">
        <f>VLOOKUP(A696*1,Table2[],5,TRUE)</f>
        <v>20:30:00</v>
      </c>
      <c r="G696" s="46" t="e">
        <f t="shared" si="20"/>
        <v>#VALUE!</v>
      </c>
      <c r="H696" t="e">
        <f t="shared" si="21"/>
        <v>#VALUE!</v>
      </c>
    </row>
    <row r="697" spans="1:8" x14ac:dyDescent="0.25">
      <c r="A697" t="s">
        <v>24</v>
      </c>
      <c r="B697" s="101" t="s">
        <v>208</v>
      </c>
      <c r="C697" s="46">
        <v>44348.0390162037</v>
      </c>
      <c r="D697" t="s">
        <v>147</v>
      </c>
      <c r="E697">
        <v>15.14</v>
      </c>
      <c r="F697" t="str">
        <f>VLOOKUP(A697*1,Table2[],5,TRUE)</f>
        <v>20:30:00</v>
      </c>
      <c r="G697" s="46" t="e">
        <f t="shared" si="20"/>
        <v>#VALUE!</v>
      </c>
      <c r="H697" t="e">
        <f t="shared" si="21"/>
        <v>#VALUE!</v>
      </c>
    </row>
    <row r="698" spans="1:8" x14ac:dyDescent="0.25">
      <c r="A698" t="s">
        <v>24</v>
      </c>
      <c r="B698" s="101" t="s">
        <v>208</v>
      </c>
      <c r="C698" s="46">
        <v>44348.039837962962</v>
      </c>
      <c r="D698" t="s">
        <v>147</v>
      </c>
      <c r="E698">
        <v>6.2</v>
      </c>
      <c r="F698" t="str">
        <f>VLOOKUP(A698*1,Table2[],5,TRUE)</f>
        <v>20:30:00</v>
      </c>
      <c r="G698" s="46" t="e">
        <f t="shared" si="20"/>
        <v>#VALUE!</v>
      </c>
      <c r="H698" t="e">
        <f t="shared" si="21"/>
        <v>#VALUE!</v>
      </c>
    </row>
    <row r="699" spans="1:8" x14ac:dyDescent="0.25">
      <c r="A699" t="s">
        <v>24</v>
      </c>
      <c r="B699" s="101" t="s">
        <v>217</v>
      </c>
      <c r="C699" s="46">
        <v>44348.041018518517</v>
      </c>
      <c r="D699" t="s">
        <v>146</v>
      </c>
      <c r="E699">
        <v>9.6999999999999993</v>
      </c>
      <c r="F699" t="str">
        <f>VLOOKUP(A699*1,Table2[],5,TRUE)</f>
        <v>20:30:00</v>
      </c>
      <c r="G699" s="46" t="e">
        <f t="shared" si="20"/>
        <v>#VALUE!</v>
      </c>
      <c r="H699" t="e">
        <f t="shared" si="21"/>
        <v>#VALUE!</v>
      </c>
    </row>
    <row r="700" spans="1:8" x14ac:dyDescent="0.25">
      <c r="A700" t="s">
        <v>24</v>
      </c>
      <c r="B700" s="101" t="s">
        <v>208</v>
      </c>
      <c r="C700" s="46">
        <v>44348.042523148149</v>
      </c>
      <c r="D700" t="s">
        <v>147</v>
      </c>
      <c r="E700">
        <v>4</v>
      </c>
      <c r="F700" t="str">
        <f>VLOOKUP(A700*1,Table2[],5,TRUE)</f>
        <v>20:30:00</v>
      </c>
      <c r="G700" s="46" t="e">
        <f t="shared" si="20"/>
        <v>#VALUE!</v>
      </c>
      <c r="H700" t="e">
        <f t="shared" si="21"/>
        <v>#VALUE!</v>
      </c>
    </row>
    <row r="701" spans="1:8" x14ac:dyDescent="0.25">
      <c r="A701" t="s">
        <v>24</v>
      </c>
      <c r="B701" s="101" t="s">
        <v>208</v>
      </c>
      <c r="C701" s="46">
        <v>44348.045439814814</v>
      </c>
      <c r="D701" t="s">
        <v>147</v>
      </c>
      <c r="E701">
        <v>13</v>
      </c>
      <c r="F701" t="str">
        <f>VLOOKUP(A701*1,Table2[],5,TRUE)</f>
        <v>20:30:00</v>
      </c>
      <c r="G701" s="46" t="e">
        <f t="shared" si="20"/>
        <v>#VALUE!</v>
      </c>
      <c r="H701" t="e">
        <f t="shared" si="21"/>
        <v>#VALUE!</v>
      </c>
    </row>
    <row r="702" spans="1:8" x14ac:dyDescent="0.25">
      <c r="A702" t="s">
        <v>24</v>
      </c>
      <c r="B702" s="101" t="s">
        <v>208</v>
      </c>
      <c r="C702" s="46">
        <v>44348.046840277777</v>
      </c>
      <c r="D702" t="s">
        <v>148</v>
      </c>
      <c r="E702">
        <v>62.18</v>
      </c>
      <c r="F702" t="str">
        <f>VLOOKUP(A702*1,Table2[],5,TRUE)</f>
        <v>20:30:00</v>
      </c>
      <c r="G702" s="46" t="e">
        <f t="shared" si="20"/>
        <v>#VALUE!</v>
      </c>
      <c r="H702" t="e">
        <f t="shared" si="21"/>
        <v>#VALUE!</v>
      </c>
    </row>
    <row r="703" spans="1:8" x14ac:dyDescent="0.25">
      <c r="A703" t="s">
        <v>24</v>
      </c>
      <c r="B703" s="101" t="s">
        <v>208</v>
      </c>
      <c r="C703" s="46">
        <v>44348.04923611111</v>
      </c>
      <c r="D703" t="s">
        <v>148</v>
      </c>
      <c r="E703">
        <v>48.93</v>
      </c>
      <c r="F703" t="str">
        <f>VLOOKUP(A703*1,Table2[],5,TRUE)</f>
        <v>20:30:00</v>
      </c>
      <c r="G703" s="46" t="e">
        <f t="shared" si="20"/>
        <v>#VALUE!</v>
      </c>
      <c r="H703" t="e">
        <f t="shared" si="21"/>
        <v>#VALUE!</v>
      </c>
    </row>
    <row r="704" spans="1:8" x14ac:dyDescent="0.25">
      <c r="A704" t="s">
        <v>24</v>
      </c>
      <c r="B704" s="101" t="s">
        <v>208</v>
      </c>
      <c r="C704" s="46">
        <v>44348.049722222226</v>
      </c>
      <c r="D704" t="s">
        <v>147</v>
      </c>
      <c r="E704">
        <v>12.2</v>
      </c>
      <c r="F704" t="str">
        <f>VLOOKUP(A704*1,Table2[],5,TRUE)</f>
        <v>20:30:00</v>
      </c>
      <c r="G704" s="46" t="e">
        <f t="shared" si="20"/>
        <v>#VALUE!</v>
      </c>
      <c r="H704" t="e">
        <f t="shared" si="21"/>
        <v>#VALUE!</v>
      </c>
    </row>
    <row r="705" spans="1:8" x14ac:dyDescent="0.25">
      <c r="A705" t="s">
        <v>24</v>
      </c>
      <c r="B705" s="101" t="s">
        <v>208</v>
      </c>
      <c r="C705" s="46">
        <v>44348.050358796296</v>
      </c>
      <c r="D705" t="s">
        <v>146</v>
      </c>
      <c r="E705">
        <v>11.7</v>
      </c>
      <c r="F705" t="str">
        <f>VLOOKUP(A705*1,Table2[],5,TRUE)</f>
        <v>20:30:00</v>
      </c>
      <c r="G705" s="46" t="e">
        <f t="shared" si="20"/>
        <v>#VALUE!</v>
      </c>
      <c r="H705" t="e">
        <f t="shared" si="21"/>
        <v>#VALUE!</v>
      </c>
    </row>
  </sheetData>
  <autoFilter ref="A1:H705" xr:uid="{00000000-0001-0000-0300-000000000000}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FectchSalesinMidnightDrawer">
                <anchor>
                  <from>
                    <xdr:col>10</xdr:col>
                    <xdr:colOff>285750</xdr:colOff>
                    <xdr:row>3</xdr:row>
                    <xdr:rowOff>0</xdr:rowOff>
                  </from>
                  <to>
                    <xdr:col>11</xdr:col>
                    <xdr:colOff>209550</xdr:colOff>
                    <xdr:row>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5" name="Button 3">
              <controlPr defaultSize="0" print="0" autoFill="0" autoPict="0" macro="[0]!CategorizeSalesInMidNightDrawers">
                <anchor>
                  <from>
                    <xdr:col>10</xdr:col>
                    <xdr:colOff>203200</xdr:colOff>
                    <xdr:row>10</xdr:row>
                    <xdr:rowOff>0</xdr:rowOff>
                  </from>
                  <to>
                    <xdr:col>11</xdr:col>
                    <xdr:colOff>393700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6" name="Button 4">
              <controlPr defaultSize="0" print="0" autoFill="0" autoPict="0" macro="[0]!ShowMidnightDrawers">
                <anchor>
                  <from>
                    <xdr:col>12</xdr:col>
                    <xdr:colOff>336550</xdr:colOff>
                    <xdr:row>3</xdr:row>
                    <xdr:rowOff>38100</xdr:rowOff>
                  </from>
                  <to>
                    <xdr:col>14</xdr:col>
                    <xdr:colOff>361950</xdr:colOff>
                    <xdr:row>6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25F512-F61D-4A4F-B4B1-122545AA8192}">
  <sheetPr codeName="Sheet2">
    <tabColor theme="8" tint="0.59999389629810485"/>
  </sheetPr>
  <dimension ref="A1:K23"/>
  <sheetViews>
    <sheetView workbookViewId="0">
      <selection activeCell="G30" sqref="G30"/>
    </sheetView>
  </sheetViews>
  <sheetFormatPr defaultRowHeight="12.5" x14ac:dyDescent="0.25"/>
  <cols>
    <col min="1" max="11" width="15.6328125" customWidth="1"/>
  </cols>
  <sheetData>
    <row r="1" spans="1:11" ht="13" x14ac:dyDescent="0.3">
      <c r="A1" s="71" t="s">
        <v>176</v>
      </c>
      <c r="B1" s="71" t="s">
        <v>177</v>
      </c>
      <c r="C1" s="71" t="s">
        <v>0</v>
      </c>
      <c r="D1" s="71" t="s">
        <v>178</v>
      </c>
      <c r="E1" s="71" t="s">
        <v>179</v>
      </c>
      <c r="F1" s="71" t="s">
        <v>180</v>
      </c>
      <c r="G1" s="71" t="s">
        <v>181</v>
      </c>
      <c r="H1" s="71" t="s">
        <v>10</v>
      </c>
      <c r="I1" s="71" t="s">
        <v>182</v>
      </c>
      <c r="J1" s="71" t="s">
        <v>183</v>
      </c>
      <c r="K1" s="71" t="s">
        <v>184</v>
      </c>
    </row>
    <row r="2" spans="1:11" x14ac:dyDescent="0.25">
      <c r="A2" s="46">
        <v>44347.16982638889</v>
      </c>
      <c r="B2" s="46">
        <v>44348.100648148145</v>
      </c>
      <c r="C2" t="s">
        <v>24</v>
      </c>
      <c r="D2" s="46">
        <v>44348</v>
      </c>
      <c r="E2" t="s">
        <v>185</v>
      </c>
      <c r="F2" t="s">
        <v>186</v>
      </c>
      <c r="G2" t="s">
        <v>187</v>
      </c>
      <c r="H2">
        <v>7117.52</v>
      </c>
      <c r="I2" t="s">
        <v>207</v>
      </c>
      <c r="J2" t="s">
        <v>188</v>
      </c>
      <c r="K2" t="s">
        <v>208</v>
      </c>
    </row>
    <row r="3" spans="1:11" x14ac:dyDescent="0.25">
      <c r="A3" s="46">
        <v>44347.16982638889</v>
      </c>
      <c r="B3" s="46">
        <v>44348.100648148145</v>
      </c>
      <c r="C3" t="s">
        <v>24</v>
      </c>
      <c r="D3" s="46">
        <v>44348</v>
      </c>
      <c r="E3" t="s">
        <v>185</v>
      </c>
      <c r="F3" t="s">
        <v>201</v>
      </c>
      <c r="G3" t="s">
        <v>202</v>
      </c>
      <c r="H3">
        <v>584.63</v>
      </c>
      <c r="I3" t="s">
        <v>209</v>
      </c>
      <c r="J3" t="s">
        <v>203</v>
      </c>
      <c r="K3" t="s">
        <v>208</v>
      </c>
    </row>
    <row r="4" spans="1:11" x14ac:dyDescent="0.25">
      <c r="A4" s="46">
        <v>44347.16982638889</v>
      </c>
      <c r="B4" s="46">
        <v>44348.100648148145</v>
      </c>
      <c r="C4" t="s">
        <v>24</v>
      </c>
      <c r="D4" s="46">
        <v>44348</v>
      </c>
      <c r="E4" t="s">
        <v>185</v>
      </c>
      <c r="F4" t="s">
        <v>189</v>
      </c>
      <c r="G4" t="s">
        <v>190</v>
      </c>
      <c r="H4">
        <v>-7032.75</v>
      </c>
      <c r="I4" t="s">
        <v>210</v>
      </c>
      <c r="J4" t="s">
        <v>191</v>
      </c>
      <c r="K4" t="s">
        <v>208</v>
      </c>
    </row>
    <row r="5" spans="1:11" x14ac:dyDescent="0.25">
      <c r="A5" s="46">
        <v>44347.16982638889</v>
      </c>
      <c r="B5" s="46">
        <v>44348.100648148145</v>
      </c>
      <c r="C5" t="s">
        <v>24</v>
      </c>
      <c r="D5" s="46">
        <v>44348</v>
      </c>
      <c r="E5" t="s">
        <v>185</v>
      </c>
      <c r="F5" t="s">
        <v>199</v>
      </c>
      <c r="G5" t="s">
        <v>190</v>
      </c>
      <c r="H5">
        <v>197.79</v>
      </c>
      <c r="I5" t="s">
        <v>211</v>
      </c>
      <c r="J5" t="s">
        <v>200</v>
      </c>
      <c r="K5" t="s">
        <v>208</v>
      </c>
    </row>
    <row r="6" spans="1:11" x14ac:dyDescent="0.25">
      <c r="A6" s="46">
        <v>44347.16982638889</v>
      </c>
      <c r="B6" s="46">
        <v>44348.100648148145</v>
      </c>
      <c r="C6" t="s">
        <v>24</v>
      </c>
      <c r="D6" s="46">
        <v>44348</v>
      </c>
      <c r="E6" t="s">
        <v>185</v>
      </c>
      <c r="F6" t="s">
        <v>192</v>
      </c>
      <c r="G6" t="s">
        <v>193</v>
      </c>
      <c r="H6">
        <v>-652.78</v>
      </c>
      <c r="I6" t="s">
        <v>212</v>
      </c>
      <c r="J6" t="s">
        <v>192</v>
      </c>
      <c r="K6" t="s">
        <v>208</v>
      </c>
    </row>
    <row r="7" spans="1:11" x14ac:dyDescent="0.25">
      <c r="A7" s="46">
        <v>44347.16982638889</v>
      </c>
      <c r="B7" s="46">
        <v>44348.100648148145</v>
      </c>
      <c r="C7" t="s">
        <v>24</v>
      </c>
      <c r="D7" s="46">
        <v>44348</v>
      </c>
      <c r="E7" t="s">
        <v>185</v>
      </c>
      <c r="F7" t="s">
        <v>197</v>
      </c>
      <c r="G7" t="s">
        <v>190</v>
      </c>
      <c r="H7">
        <v>-214.41</v>
      </c>
      <c r="I7" t="s">
        <v>213</v>
      </c>
      <c r="J7" t="s">
        <v>198</v>
      </c>
      <c r="K7" t="s">
        <v>208</v>
      </c>
    </row>
    <row r="8" spans="1:11" x14ac:dyDescent="0.25">
      <c r="A8" s="46">
        <v>44347.170104166667</v>
      </c>
      <c r="B8" s="46">
        <v>44348.082141203704</v>
      </c>
      <c r="C8" t="s">
        <v>24</v>
      </c>
      <c r="D8" s="46">
        <v>44348</v>
      </c>
      <c r="E8" t="s">
        <v>185</v>
      </c>
      <c r="F8" t="s">
        <v>214</v>
      </c>
      <c r="G8" t="s">
        <v>190</v>
      </c>
      <c r="H8">
        <v>0.01</v>
      </c>
      <c r="I8" t="s">
        <v>215</v>
      </c>
      <c r="J8" t="s">
        <v>216</v>
      </c>
      <c r="K8" t="s">
        <v>217</v>
      </c>
    </row>
    <row r="9" spans="1:11" x14ac:dyDescent="0.25">
      <c r="A9" s="46">
        <v>44347.170104166667</v>
      </c>
      <c r="B9" s="46">
        <v>44348.082141203704</v>
      </c>
      <c r="C9" t="s">
        <v>24</v>
      </c>
      <c r="D9" s="46">
        <v>44348</v>
      </c>
      <c r="E9" t="s">
        <v>185</v>
      </c>
      <c r="F9" t="s">
        <v>218</v>
      </c>
      <c r="G9" t="s">
        <v>190</v>
      </c>
      <c r="H9">
        <v>4.09</v>
      </c>
      <c r="I9" t="s">
        <v>219</v>
      </c>
      <c r="J9" t="s">
        <v>220</v>
      </c>
      <c r="K9" t="s">
        <v>217</v>
      </c>
    </row>
    <row r="10" spans="1:11" x14ac:dyDescent="0.25">
      <c r="A10" s="46">
        <v>44347.170104166667</v>
      </c>
      <c r="B10" s="46">
        <v>44348.082141203704</v>
      </c>
      <c r="C10" t="s">
        <v>24</v>
      </c>
      <c r="D10" s="46">
        <v>44348</v>
      </c>
      <c r="E10" t="s">
        <v>185</v>
      </c>
      <c r="F10" t="s">
        <v>197</v>
      </c>
      <c r="G10" t="s">
        <v>190</v>
      </c>
      <c r="H10">
        <v>-206.72</v>
      </c>
      <c r="I10" t="s">
        <v>221</v>
      </c>
      <c r="J10" t="s">
        <v>198</v>
      </c>
      <c r="K10" t="s">
        <v>217</v>
      </c>
    </row>
    <row r="11" spans="1:11" x14ac:dyDescent="0.25">
      <c r="A11" s="46">
        <v>44347.170104166667</v>
      </c>
      <c r="B11" s="46">
        <v>44348.082141203704</v>
      </c>
      <c r="C11" t="s">
        <v>24</v>
      </c>
      <c r="D11" s="46">
        <v>44348</v>
      </c>
      <c r="E11" t="s">
        <v>185</v>
      </c>
      <c r="F11" t="s">
        <v>192</v>
      </c>
      <c r="G11" t="s">
        <v>193</v>
      </c>
      <c r="H11">
        <v>-652.02</v>
      </c>
      <c r="I11" t="s">
        <v>222</v>
      </c>
      <c r="J11" t="s">
        <v>192</v>
      </c>
      <c r="K11" t="s">
        <v>217</v>
      </c>
    </row>
    <row r="12" spans="1:11" x14ac:dyDescent="0.25">
      <c r="A12" s="46">
        <v>44347.170104166667</v>
      </c>
      <c r="B12" s="46">
        <v>44348.082141203704</v>
      </c>
      <c r="C12" t="s">
        <v>24</v>
      </c>
      <c r="D12" s="46">
        <v>44348</v>
      </c>
      <c r="E12" t="s">
        <v>185</v>
      </c>
      <c r="F12" t="s">
        <v>199</v>
      </c>
      <c r="G12" t="s">
        <v>190</v>
      </c>
      <c r="H12">
        <v>173.72</v>
      </c>
      <c r="I12" t="s">
        <v>223</v>
      </c>
      <c r="J12" t="s">
        <v>200</v>
      </c>
      <c r="K12" t="s">
        <v>217</v>
      </c>
    </row>
    <row r="13" spans="1:11" x14ac:dyDescent="0.25">
      <c r="A13" s="46">
        <v>44347.170104166667</v>
      </c>
      <c r="B13" s="46">
        <v>44348.082141203704</v>
      </c>
      <c r="C13" t="s">
        <v>24</v>
      </c>
      <c r="D13" s="46">
        <v>44348</v>
      </c>
      <c r="E13" t="s">
        <v>185</v>
      </c>
      <c r="F13" t="s">
        <v>189</v>
      </c>
      <c r="G13" t="s">
        <v>190</v>
      </c>
      <c r="H13">
        <v>-7028.61</v>
      </c>
      <c r="I13" t="s">
        <v>224</v>
      </c>
      <c r="J13" t="s">
        <v>191</v>
      </c>
      <c r="K13" t="s">
        <v>217</v>
      </c>
    </row>
    <row r="14" spans="1:11" x14ac:dyDescent="0.25">
      <c r="A14" s="46">
        <v>44347.170104166667</v>
      </c>
      <c r="B14" s="46">
        <v>44348.082141203704</v>
      </c>
      <c r="C14" t="s">
        <v>24</v>
      </c>
      <c r="D14" s="46">
        <v>44348</v>
      </c>
      <c r="E14" t="s">
        <v>185</v>
      </c>
      <c r="F14" t="s">
        <v>186</v>
      </c>
      <c r="G14" t="s">
        <v>187</v>
      </c>
      <c r="H14">
        <v>7709.63</v>
      </c>
      <c r="I14" t="s">
        <v>225</v>
      </c>
      <c r="J14" t="s">
        <v>188</v>
      </c>
      <c r="K14" t="s">
        <v>217</v>
      </c>
    </row>
    <row r="15" spans="1:11" x14ac:dyDescent="0.25">
      <c r="A15" s="46">
        <v>44347.170104166667</v>
      </c>
      <c r="B15" s="46">
        <v>44348.082141203704</v>
      </c>
      <c r="C15" t="s">
        <v>24</v>
      </c>
      <c r="D15" s="46">
        <v>44348</v>
      </c>
      <c r="E15" t="s">
        <v>185</v>
      </c>
      <c r="F15" t="s">
        <v>226</v>
      </c>
      <c r="G15" t="s">
        <v>227</v>
      </c>
      <c r="H15">
        <v>-0.1</v>
      </c>
      <c r="I15" t="s">
        <v>228</v>
      </c>
      <c r="J15" t="s">
        <v>229</v>
      </c>
      <c r="K15" t="s">
        <v>217</v>
      </c>
    </row>
    <row r="16" spans="1:11" x14ac:dyDescent="0.25">
      <c r="A16" s="46">
        <v>44347.170104166667</v>
      </c>
      <c r="B16" s="46">
        <v>44348.082141203704</v>
      </c>
      <c r="C16" t="s">
        <v>24</v>
      </c>
      <c r="D16" s="46">
        <v>44347</v>
      </c>
      <c r="E16" t="s">
        <v>185</v>
      </c>
      <c r="F16" t="s">
        <v>230</v>
      </c>
      <c r="G16" t="s">
        <v>231</v>
      </c>
      <c r="H16">
        <v>-400</v>
      </c>
      <c r="I16" t="s">
        <v>232</v>
      </c>
      <c r="J16" t="s">
        <v>233</v>
      </c>
      <c r="K16" t="s">
        <v>217</v>
      </c>
    </row>
    <row r="17" spans="1:11" x14ac:dyDescent="0.25">
      <c r="A17" s="46">
        <v>44347.170104166667</v>
      </c>
      <c r="B17" s="46">
        <v>44348.082141203704</v>
      </c>
      <c r="C17" t="s">
        <v>24</v>
      </c>
      <c r="D17" s="46">
        <v>44347</v>
      </c>
      <c r="E17" t="s">
        <v>185</v>
      </c>
      <c r="F17" t="s">
        <v>234</v>
      </c>
      <c r="G17" t="s">
        <v>227</v>
      </c>
      <c r="H17">
        <v>400</v>
      </c>
      <c r="I17" t="s">
        <v>235</v>
      </c>
      <c r="J17" t="s">
        <v>236</v>
      </c>
      <c r="K17" t="s">
        <v>217</v>
      </c>
    </row>
    <row r="18" spans="1:11" x14ac:dyDescent="0.25">
      <c r="A18" s="46">
        <v>44347.246747685182</v>
      </c>
      <c r="B18" s="46">
        <v>44348.800740740742</v>
      </c>
      <c r="C18" t="s">
        <v>237</v>
      </c>
      <c r="D18" s="46">
        <v>44348</v>
      </c>
      <c r="E18" t="s">
        <v>185</v>
      </c>
      <c r="F18" t="s">
        <v>230</v>
      </c>
      <c r="G18" t="s">
        <v>231</v>
      </c>
      <c r="H18">
        <v>-400</v>
      </c>
      <c r="I18" t="s">
        <v>238</v>
      </c>
      <c r="J18" t="s">
        <v>233</v>
      </c>
      <c r="K18" t="s">
        <v>239</v>
      </c>
    </row>
    <row r="19" spans="1:11" x14ac:dyDescent="0.25">
      <c r="A19" s="46">
        <v>44347.246747685182</v>
      </c>
      <c r="B19" s="46">
        <v>44348.800740740742</v>
      </c>
      <c r="C19" t="s">
        <v>237</v>
      </c>
      <c r="D19" s="46">
        <v>44348</v>
      </c>
      <c r="E19" t="s">
        <v>185</v>
      </c>
      <c r="F19" t="s">
        <v>226</v>
      </c>
      <c r="G19" t="s">
        <v>227</v>
      </c>
      <c r="H19">
        <v>400</v>
      </c>
      <c r="I19" t="s">
        <v>240</v>
      </c>
      <c r="J19" t="s">
        <v>229</v>
      </c>
      <c r="K19" t="s">
        <v>239</v>
      </c>
    </row>
    <row r="20" spans="1:11" x14ac:dyDescent="0.25">
      <c r="A20" s="46"/>
      <c r="B20" s="46"/>
      <c r="D20" s="46"/>
    </row>
    <row r="21" spans="1:11" x14ac:dyDescent="0.25">
      <c r="A21" s="46"/>
      <c r="B21" s="46"/>
      <c r="D21" s="46"/>
    </row>
    <row r="22" spans="1:11" x14ac:dyDescent="0.25">
      <c r="A22" s="46"/>
      <c r="B22" s="46"/>
      <c r="D22" s="46"/>
    </row>
    <row r="23" spans="1:11" x14ac:dyDescent="0.25">
      <c r="A23" s="46"/>
      <c r="B23" s="46"/>
      <c r="D23" s="46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3">
    <pageSetUpPr fitToPage="1"/>
  </sheetPr>
  <dimension ref="A1:R85"/>
  <sheetViews>
    <sheetView zoomScale="110" zoomScaleNormal="110" workbookViewId="0">
      <pane xSplit="2" ySplit="2" topLeftCell="F21" activePane="bottomRight" state="frozen"/>
      <selection activeCell="E50" sqref="E50"/>
      <selection pane="topRight" activeCell="E50" sqref="E50"/>
      <selection pane="bottomLeft" activeCell="E50" sqref="E50"/>
      <selection pane="bottomRight" activeCell="N29" sqref="N29"/>
    </sheetView>
  </sheetViews>
  <sheetFormatPr defaultColWidth="9.08984375" defaultRowHeight="12.5" x14ac:dyDescent="0.25"/>
  <cols>
    <col min="1" max="1" width="9.08984375" style="64"/>
    <col min="2" max="2" width="11.7265625" style="45" customWidth="1"/>
    <col min="3" max="3" width="16.36328125" style="45" customWidth="1"/>
    <col min="4" max="4" width="19.26953125" style="45" customWidth="1"/>
    <col min="5" max="5" width="21.7265625" style="45" customWidth="1"/>
    <col min="6" max="6" width="23.7265625" style="45" customWidth="1"/>
    <col min="7" max="7" width="20.08984375" style="45" customWidth="1"/>
    <col min="8" max="8" width="3.81640625" style="45" customWidth="1"/>
    <col min="9" max="9" width="14.6328125" style="51" customWidth="1"/>
    <col min="10" max="10" width="10.36328125" style="45" customWidth="1"/>
    <col min="11" max="11" width="9.90625" style="45" customWidth="1"/>
    <col min="12" max="13" width="15.81640625" style="45" customWidth="1"/>
    <col min="14" max="14" width="14" style="45" customWidth="1"/>
    <col min="15" max="15" width="15.81640625" style="51" customWidth="1"/>
    <col min="16" max="16" width="9.81640625" style="45" hidden="1" customWidth="1"/>
    <col min="17" max="17" width="12.6328125" style="45" hidden="1" customWidth="1"/>
    <col min="18" max="18" width="55.36328125" style="87" customWidth="1"/>
    <col min="19" max="19" width="2.36328125" style="45" customWidth="1"/>
    <col min="20" max="20" width="9.08984375" style="45" customWidth="1"/>
    <col min="21" max="16384" width="9.08984375" style="45"/>
  </cols>
  <sheetData>
    <row r="1" spans="1:18" ht="15.5" x14ac:dyDescent="0.35">
      <c r="B1" s="48"/>
      <c r="C1" s="45" t="s">
        <v>100</v>
      </c>
      <c r="D1" s="45" t="s">
        <v>97</v>
      </c>
      <c r="G1" s="50" t="s">
        <v>22</v>
      </c>
      <c r="K1" s="49"/>
      <c r="L1" s="49" t="s">
        <v>98</v>
      </c>
      <c r="M1" s="49"/>
      <c r="N1" s="49" t="s">
        <v>22</v>
      </c>
      <c r="O1" s="110"/>
    </row>
    <row r="2" spans="1:18" ht="84.75" customHeight="1" x14ac:dyDescent="0.25">
      <c r="A2" s="60" t="s">
        <v>23</v>
      </c>
      <c r="B2" s="60" t="s">
        <v>0</v>
      </c>
      <c r="C2" s="66" t="s">
        <v>93</v>
      </c>
      <c r="D2" s="66" t="s">
        <v>104</v>
      </c>
      <c r="E2" s="66" t="s">
        <v>105</v>
      </c>
      <c r="F2" s="67" t="s">
        <v>106</v>
      </c>
      <c r="G2" s="61" t="s">
        <v>92</v>
      </c>
      <c r="H2" s="59"/>
      <c r="I2" s="121" t="s">
        <v>122</v>
      </c>
      <c r="J2" s="62" t="s">
        <v>123</v>
      </c>
      <c r="K2" s="62" t="s">
        <v>204</v>
      </c>
      <c r="L2" s="62" t="s">
        <v>94</v>
      </c>
      <c r="M2" s="62" t="s">
        <v>95</v>
      </c>
      <c r="N2" s="68" t="s">
        <v>96</v>
      </c>
      <c r="O2" s="111" t="s">
        <v>89</v>
      </c>
      <c r="P2" s="63" t="s">
        <v>90</v>
      </c>
      <c r="Q2" s="63" t="s">
        <v>91</v>
      </c>
      <c r="R2" s="87" t="s">
        <v>144</v>
      </c>
    </row>
    <row r="3" spans="1:18" ht="14.5" x14ac:dyDescent="0.35">
      <c r="A3" s="65">
        <v>2004</v>
      </c>
      <c r="B3" s="57" t="s">
        <v>25</v>
      </c>
      <c r="C3" s="51">
        <f>SUMIFS('Midnight Drawer'!H:H,'Midnight Drawer'!C:C,Summary!A3,'Midnight Drawer'!G:G,"5105")</f>
        <v>0</v>
      </c>
      <c r="D3" s="51">
        <f>SUMIFS('EFTs in MidN drawer'!E:E,'EFTs in MidN drawer'!A:A,Summary!A3,'EFTs in MidN drawer'!H:H,"After Midnight")</f>
        <v>0</v>
      </c>
      <c r="E3" s="51">
        <f>SUMIFS('EFTs in MidN drawer'!E:E,'EFTs in MidN drawer'!A:A,Summary!A3,'EFTs in MidN drawer'!H:H,"Before Bank Cut Off")</f>
        <v>0</v>
      </c>
      <c r="F3" s="112">
        <f>SUMIFS('EFTs in MidN drawer'!E:E,'EFTs in MidN drawer'!A:A,Summary!A3,'EFTs in MidN drawer'!H:H,"In Between")</f>
        <v>0</v>
      </c>
      <c r="G3" s="119">
        <f>SUMIF('Sales After Settlement Time'!A:A,Summary!A3,'Sales After Settlement Time'!C:C)</f>
        <v>0</v>
      </c>
      <c r="H3" s="52"/>
      <c r="I3" s="51">
        <f>IFERROR(VLOOKUP(B3,'5105 Opening'!A:B,2,FALSE),0)</f>
        <v>0</v>
      </c>
      <c r="J3" s="51">
        <f>IFERROR(VLOOKUP(B3,'5105'!A:B,2,FALSE),0)</f>
        <v>0</v>
      </c>
      <c r="K3" s="112">
        <f>I3+J3</f>
        <v>0</v>
      </c>
      <c r="L3" s="112">
        <f>C3-D3</f>
        <v>0</v>
      </c>
      <c r="M3" s="112">
        <f>K3+L3</f>
        <v>0</v>
      </c>
      <c r="N3" s="112">
        <f>G3</f>
        <v>0</v>
      </c>
      <c r="O3" s="112">
        <f>M3-N3</f>
        <v>0</v>
      </c>
      <c r="P3" s="53">
        <f>G3-F3</f>
        <v>0</v>
      </c>
      <c r="Q3" s="45" t="str">
        <f>LEFT(B3,4)&amp;5105</f>
        <v>20045105</v>
      </c>
    </row>
    <row r="4" spans="1:18" ht="14.5" x14ac:dyDescent="0.35">
      <c r="A4" s="65">
        <v>2009</v>
      </c>
      <c r="B4" s="57" t="s">
        <v>26</v>
      </c>
      <c r="C4" s="51">
        <f>SUMIFS('Midnight Drawer'!H:H,'Midnight Drawer'!C:C,Summary!A4,'Midnight Drawer'!G:G,"5105")</f>
        <v>0</v>
      </c>
      <c r="D4" s="51">
        <f>SUMIFS('EFTs in MidN drawer'!E:E,'EFTs in MidN drawer'!A:A,Summary!A4,'EFTs in MidN drawer'!H:H,"After Midnight")</f>
        <v>0</v>
      </c>
      <c r="E4" s="51">
        <f>SUMIFS('EFTs in MidN drawer'!E:E,'EFTs in MidN drawer'!A:A,Summary!A4,'EFTs in MidN drawer'!H:H,"Before Bank Cut Off")</f>
        <v>0</v>
      </c>
      <c r="F4" s="112">
        <f>SUMIFS('EFTs in MidN drawer'!E:E,'EFTs in MidN drawer'!A:A,Summary!A4,'EFTs in MidN drawer'!H:H,"In Between")</f>
        <v>0</v>
      </c>
      <c r="G4" s="119">
        <f>SUMIF('Sales After Settlement Time'!A:A,Summary!A4,'Sales After Settlement Time'!C:C)</f>
        <v>0</v>
      </c>
      <c r="H4" s="52"/>
      <c r="I4" s="51">
        <f>IFERROR(VLOOKUP(B4,'5105 Opening'!A:B,2,FALSE),0)</f>
        <v>0</v>
      </c>
      <c r="J4" s="51">
        <f>IFERROR(VLOOKUP(B4,'5105'!A:B,2,FALSE),0)</f>
        <v>0</v>
      </c>
      <c r="K4" s="112">
        <f t="shared" ref="K4:K77" si="0">I4+J4</f>
        <v>0</v>
      </c>
      <c r="L4" s="112">
        <f t="shared" ref="L4:L77" si="1">C4-D4</f>
        <v>0</v>
      </c>
      <c r="M4" s="112">
        <f t="shared" ref="M4:M77" si="2">K4+L4</f>
        <v>0</v>
      </c>
      <c r="N4" s="112">
        <f t="shared" ref="N4:N77" si="3">G4</f>
        <v>0</v>
      </c>
      <c r="O4" s="112">
        <f t="shared" ref="O4:O77" si="4">M4-N4</f>
        <v>0</v>
      </c>
      <c r="P4" s="53">
        <f>G4-F4</f>
        <v>0</v>
      </c>
      <c r="Q4" s="45" t="str">
        <f>LEFT(B4,4)&amp;5105</f>
        <v>20095105</v>
      </c>
    </row>
    <row r="5" spans="1:18" ht="14.5" x14ac:dyDescent="0.35">
      <c r="A5" s="65">
        <v>2105</v>
      </c>
      <c r="B5" s="74" t="s">
        <v>103</v>
      </c>
      <c r="C5" s="51">
        <f>SUMIFS('Midnight Drawer'!H:H,'Midnight Drawer'!C:C,Summary!A5,'Midnight Drawer'!G:G,"5105")</f>
        <v>0</v>
      </c>
      <c r="D5" s="51">
        <f>SUMIFS('EFTs in MidN drawer'!E:E,'EFTs in MidN drawer'!A:A,Summary!A5,'EFTs in MidN drawer'!H:H,"After Midnight")</f>
        <v>0</v>
      </c>
      <c r="E5" s="51">
        <f>SUMIFS('EFTs in MidN drawer'!E:E,'EFTs in MidN drawer'!A:A,Summary!A5,'EFTs in MidN drawer'!H:H,"Before Bank Cut Off")</f>
        <v>0</v>
      </c>
      <c r="F5" s="112">
        <f>SUMIFS('EFTs in MidN drawer'!E:E,'EFTs in MidN drawer'!A:A,Summary!A5,'EFTs in MidN drawer'!H:H,"In Between")</f>
        <v>0</v>
      </c>
      <c r="G5" s="119">
        <f>SUMIF('Sales After Settlement Time'!A:A,Summary!A5,'Sales After Settlement Time'!C:C)</f>
        <v>0</v>
      </c>
      <c r="H5" s="52"/>
      <c r="I5" s="51">
        <f>IFERROR(VLOOKUP(B5,'5105 Opening'!A:B,2,FALSE),0)</f>
        <v>0</v>
      </c>
      <c r="J5" s="51">
        <f>IFERROR(VLOOKUP(B5,'5105'!A:B,2,FALSE),0)</f>
        <v>0</v>
      </c>
      <c r="K5" s="112">
        <f t="shared" ref="K5:K6" si="5">I5+J5</f>
        <v>0</v>
      </c>
      <c r="L5" s="112">
        <f t="shared" ref="L5:L6" si="6">C5-D5</f>
        <v>0</v>
      </c>
      <c r="M5" s="112">
        <f t="shared" ref="M5:M6" si="7">K5+L5</f>
        <v>0</v>
      </c>
      <c r="N5" s="112">
        <f t="shared" ref="N5:N6" si="8">G5</f>
        <v>0</v>
      </c>
      <c r="O5" s="112">
        <f t="shared" ref="O5:O6" si="9">M5-N5</f>
        <v>0</v>
      </c>
      <c r="P5" s="53"/>
    </row>
    <row r="6" spans="1:18" ht="14.5" x14ac:dyDescent="0.35">
      <c r="A6" s="65">
        <v>2106</v>
      </c>
      <c r="B6" s="74" t="s">
        <v>116</v>
      </c>
      <c r="C6" s="51">
        <f>SUMIFS('Midnight Drawer'!H:H,'Midnight Drawer'!C:C,Summary!A6,'Midnight Drawer'!G:G,"5105")</f>
        <v>0</v>
      </c>
      <c r="D6" s="51">
        <f>SUMIFS('EFTs in MidN drawer'!E:E,'EFTs in MidN drawer'!A:A,Summary!A6,'EFTs in MidN drawer'!H:H,"After Midnight")</f>
        <v>0</v>
      </c>
      <c r="E6" s="51">
        <f>SUMIFS('EFTs in MidN drawer'!E:E,'EFTs in MidN drawer'!A:A,Summary!A6,'EFTs in MidN drawer'!H:H,"Before Bank Cut Off")</f>
        <v>0</v>
      </c>
      <c r="F6" s="112">
        <f>SUMIFS('EFTs in MidN drawer'!E:E,'EFTs in MidN drawer'!A:A,Summary!A6,'EFTs in MidN drawer'!H:H,"In Between")</f>
        <v>0</v>
      </c>
      <c r="G6" s="119">
        <f>SUMIF('Sales After Settlement Time'!A:A,Summary!A6,'Sales After Settlement Time'!C:C)</f>
        <v>0</v>
      </c>
      <c r="H6" s="52"/>
      <c r="I6" s="51">
        <f>IFERROR(VLOOKUP(B6,'5105 Opening'!A:B,2,FALSE),0)</f>
        <v>0</v>
      </c>
      <c r="J6" s="51">
        <f>IFERROR(VLOOKUP(B6,'5105'!A:B,2,FALSE),0)</f>
        <v>0</v>
      </c>
      <c r="K6" s="112">
        <f t="shared" si="5"/>
        <v>0</v>
      </c>
      <c r="L6" s="112">
        <f t="shared" si="6"/>
        <v>0</v>
      </c>
      <c r="M6" s="112">
        <f t="shared" si="7"/>
        <v>0</v>
      </c>
      <c r="N6" s="112">
        <f t="shared" si="8"/>
        <v>0</v>
      </c>
      <c r="O6" s="112">
        <f t="shared" si="9"/>
        <v>0</v>
      </c>
      <c r="P6" s="53"/>
    </row>
    <row r="7" spans="1:18" ht="14.5" x14ac:dyDescent="0.35">
      <c r="A7" s="65">
        <v>2117</v>
      </c>
      <c r="B7" s="75" t="s">
        <v>124</v>
      </c>
      <c r="C7" s="51">
        <f>SUMIFS('Midnight Drawer'!H:H,'Midnight Drawer'!C:C,Summary!A7,'Midnight Drawer'!G:G,"5105")</f>
        <v>0</v>
      </c>
      <c r="D7" s="51">
        <f>SUMIFS('EFTs in MidN drawer'!E:E,'EFTs in MidN drawer'!A:A,Summary!A7,'EFTs in MidN drawer'!H:H,"After Midnight")</f>
        <v>0</v>
      </c>
      <c r="E7" s="51">
        <f>SUMIFS('EFTs in MidN drawer'!E:E,'EFTs in MidN drawer'!A:A,Summary!A7,'EFTs in MidN drawer'!H:H,"Before Bank Cut Off")</f>
        <v>0</v>
      </c>
      <c r="F7" s="112">
        <f>SUMIFS('EFTs in MidN drawer'!E:E,'EFTs in MidN drawer'!A:A,Summary!A7,'EFTs in MidN drawer'!H:H,"In Between")</f>
        <v>0</v>
      </c>
      <c r="G7" s="119">
        <f>SUMIF('Sales After Settlement Time'!A:A,Summary!A7,'Sales After Settlement Time'!C:C)</f>
        <v>0</v>
      </c>
      <c r="H7" s="52"/>
      <c r="I7" s="51">
        <f>IFERROR(VLOOKUP(B7,'5105 Opening'!A:B,2,FALSE),0)</f>
        <v>0</v>
      </c>
      <c r="J7" s="51">
        <f>IFERROR(VLOOKUP(B7,'5105'!A:B,2,FALSE),0)</f>
        <v>0</v>
      </c>
      <c r="K7" s="112">
        <f t="shared" ref="K7:K73" si="10">I7+J7</f>
        <v>0</v>
      </c>
      <c r="L7" s="112">
        <f t="shared" ref="L7:L73" si="11">C7-D7</f>
        <v>0</v>
      </c>
      <c r="M7" s="112">
        <f t="shared" ref="M7:M73" si="12">K7+L7</f>
        <v>0</v>
      </c>
      <c r="N7" s="112">
        <f t="shared" ref="N7:N73" si="13">G7</f>
        <v>0</v>
      </c>
      <c r="O7" s="112">
        <f t="shared" ref="O7:O73" si="14">M7-N7</f>
        <v>0</v>
      </c>
      <c r="P7" s="53"/>
    </row>
    <row r="8" spans="1:18" ht="14.5" x14ac:dyDescent="0.35">
      <c r="A8" s="65">
        <v>2118</v>
      </c>
      <c r="B8" s="75" t="s">
        <v>125</v>
      </c>
      <c r="C8" s="51">
        <f>SUMIFS('Midnight Drawer'!H:H,'Midnight Drawer'!C:C,Summary!A8,'Midnight Drawer'!G:G,"5105")</f>
        <v>0</v>
      </c>
      <c r="D8" s="51">
        <f>SUMIFS('EFTs in MidN drawer'!E:E,'EFTs in MidN drawer'!A:A,Summary!A8,'EFTs in MidN drawer'!H:H,"After Midnight")</f>
        <v>0</v>
      </c>
      <c r="E8" s="51">
        <f>SUMIFS('EFTs in MidN drawer'!E:E,'EFTs in MidN drawer'!A:A,Summary!A8,'EFTs in MidN drawer'!H:H,"Before Bank Cut Off")</f>
        <v>0</v>
      </c>
      <c r="F8" s="112">
        <f>SUMIFS('EFTs in MidN drawer'!E:E,'EFTs in MidN drawer'!A:A,Summary!A8,'EFTs in MidN drawer'!H:H,"In Between")</f>
        <v>0</v>
      </c>
      <c r="G8" s="119">
        <f>SUMIF('Sales After Settlement Time'!A:A,Summary!A8,'Sales After Settlement Time'!C:C)</f>
        <v>0</v>
      </c>
      <c r="H8" s="52"/>
      <c r="I8" s="51">
        <f>IFERROR(VLOOKUP(B8,'5105 Opening'!A:B,2,FALSE),0)</f>
        <v>0</v>
      </c>
      <c r="J8" s="51">
        <f>IFERROR(VLOOKUP(B8,'5105'!A:B,2,FALSE),0)</f>
        <v>0</v>
      </c>
      <c r="K8" s="112">
        <f t="shared" si="10"/>
        <v>0</v>
      </c>
      <c r="L8" s="112">
        <f t="shared" si="11"/>
        <v>0</v>
      </c>
      <c r="M8" s="112">
        <f t="shared" si="12"/>
        <v>0</v>
      </c>
      <c r="N8" s="112">
        <f t="shared" si="13"/>
        <v>0</v>
      </c>
      <c r="O8" s="112">
        <f t="shared" si="14"/>
        <v>0</v>
      </c>
      <c r="P8" s="53"/>
      <c r="R8" s="88"/>
    </row>
    <row r="9" spans="1:18" ht="14.5" x14ac:dyDescent="0.35">
      <c r="A9" s="65">
        <v>2119</v>
      </c>
      <c r="B9" s="75" t="s">
        <v>126</v>
      </c>
      <c r="C9" s="51">
        <f>SUMIFS('Midnight Drawer'!H:H,'Midnight Drawer'!C:C,Summary!A9,'Midnight Drawer'!G:G,"5105")</f>
        <v>0</v>
      </c>
      <c r="D9" s="51">
        <f>SUMIFS('EFTs in MidN drawer'!E:E,'EFTs in MidN drawer'!A:A,Summary!A9,'EFTs in MidN drawer'!H:H,"After Midnight")</f>
        <v>0</v>
      </c>
      <c r="E9" s="51">
        <f>SUMIFS('EFTs in MidN drawer'!E:E,'EFTs in MidN drawer'!A:A,Summary!A9,'EFTs in MidN drawer'!H:H,"Before Bank Cut Off")</f>
        <v>0</v>
      </c>
      <c r="F9" s="112">
        <f>SUMIFS('EFTs in MidN drawer'!E:E,'EFTs in MidN drawer'!A:A,Summary!A9,'EFTs in MidN drawer'!H:H,"In Between")</f>
        <v>0</v>
      </c>
      <c r="G9" s="119">
        <f>SUMIF('Sales After Settlement Time'!A:A,Summary!A9,'Sales After Settlement Time'!C:C)</f>
        <v>0</v>
      </c>
      <c r="H9" s="52"/>
      <c r="I9" s="51">
        <f>IFERROR(VLOOKUP(B9,'5105 Opening'!A:B,2,FALSE),0)</f>
        <v>0</v>
      </c>
      <c r="J9" s="51">
        <f>IFERROR(VLOOKUP(B9,'5105'!A:B,2,FALSE),0)</f>
        <v>0</v>
      </c>
      <c r="K9" s="112">
        <f t="shared" si="10"/>
        <v>0</v>
      </c>
      <c r="L9" s="112">
        <f t="shared" si="11"/>
        <v>0</v>
      </c>
      <c r="M9" s="112">
        <f t="shared" si="12"/>
        <v>0</v>
      </c>
      <c r="N9" s="112">
        <f t="shared" si="13"/>
        <v>0</v>
      </c>
      <c r="O9" s="112">
        <f t="shared" si="14"/>
        <v>0</v>
      </c>
      <c r="P9" s="53"/>
      <c r="R9" s="88"/>
    </row>
    <row r="10" spans="1:18" ht="14.5" x14ac:dyDescent="0.35">
      <c r="A10" s="65">
        <v>2121</v>
      </c>
      <c r="B10" s="57" t="s">
        <v>27</v>
      </c>
      <c r="C10" s="51">
        <f>SUMIFS('Midnight Drawer'!H:H,'Midnight Drawer'!C:C,Summary!A10,'Midnight Drawer'!G:G,"5105")</f>
        <v>0</v>
      </c>
      <c r="D10" s="51">
        <f>SUMIFS('EFTs in MidN drawer'!E:E,'EFTs in MidN drawer'!A:A,Summary!A10,'EFTs in MidN drawer'!H:H,"After Midnight")</f>
        <v>0</v>
      </c>
      <c r="E10" s="51">
        <f>SUMIFS('EFTs in MidN drawer'!E:E,'EFTs in MidN drawer'!A:A,Summary!A10,'EFTs in MidN drawer'!H:H,"Before Bank Cut Off")</f>
        <v>0</v>
      </c>
      <c r="F10" s="112">
        <f>SUMIFS('EFTs in MidN drawer'!E:E,'EFTs in MidN drawer'!A:A,Summary!A10,'EFTs in MidN drawer'!H:H,"In Between")</f>
        <v>0</v>
      </c>
      <c r="G10" s="119">
        <f>SUMIF('Sales After Settlement Time'!A:A,Summary!A10,'Sales After Settlement Time'!C:C)</f>
        <v>0</v>
      </c>
      <c r="H10" s="52"/>
      <c r="I10" s="51">
        <f>IFERROR(VLOOKUP(B10,'5105 Opening'!A:B,2,FALSE),0)</f>
        <v>0</v>
      </c>
      <c r="J10" s="51">
        <f>IFERROR(VLOOKUP(B10,'5105'!A:B,2,FALSE),0)</f>
        <v>0</v>
      </c>
      <c r="K10" s="112">
        <f t="shared" si="10"/>
        <v>0</v>
      </c>
      <c r="L10" s="112">
        <f t="shared" si="11"/>
        <v>0</v>
      </c>
      <c r="M10" s="112">
        <f t="shared" si="12"/>
        <v>0</v>
      </c>
      <c r="N10" s="112">
        <f t="shared" si="13"/>
        <v>0</v>
      </c>
      <c r="O10" s="112">
        <f t="shared" si="14"/>
        <v>0</v>
      </c>
      <c r="P10" s="53">
        <f>G10-F10</f>
        <v>0</v>
      </c>
      <c r="Q10" s="45" t="str">
        <f>LEFT(B10,4)&amp;5105</f>
        <v>20125105</v>
      </c>
    </row>
    <row r="11" spans="1:18" ht="14.5" x14ac:dyDescent="0.35">
      <c r="A11" s="65">
        <v>2128</v>
      </c>
      <c r="B11" s="69" t="s">
        <v>30</v>
      </c>
      <c r="C11" s="51">
        <f>SUMIFS('Midnight Drawer'!H:H,'Midnight Drawer'!C:C,Summary!A11,'Midnight Drawer'!G:G,"5105")</f>
        <v>0</v>
      </c>
      <c r="D11" s="51">
        <f>SUMIFS('EFTs in MidN drawer'!E:E,'EFTs in MidN drawer'!A:A,Summary!A11,'EFTs in MidN drawer'!H:H,"After Midnight")</f>
        <v>0</v>
      </c>
      <c r="E11" s="51">
        <f>SUMIFS('EFTs in MidN drawer'!E:E,'EFTs in MidN drawer'!A:A,Summary!A11,'EFTs in MidN drawer'!H:H,"Before Bank Cut Off")</f>
        <v>0</v>
      </c>
      <c r="F11" s="112">
        <f>SUMIFS('EFTs in MidN drawer'!E:E,'EFTs in MidN drawer'!A:A,Summary!A11,'EFTs in MidN drawer'!H:H,"In Between")</f>
        <v>0</v>
      </c>
      <c r="G11" s="119">
        <f>SUMIF('Sales After Settlement Time'!A:A,Summary!A11,'Sales After Settlement Time'!C:C)</f>
        <v>0</v>
      </c>
      <c r="H11" s="52"/>
      <c r="I11" s="51">
        <f>IFERROR(VLOOKUP(B11,'5105 Opening'!A:B,2,FALSE),0)</f>
        <v>0</v>
      </c>
      <c r="J11" s="51">
        <f>IFERROR(VLOOKUP(B11,'5105'!A:B,2,FALSE),0)</f>
        <v>0</v>
      </c>
      <c r="K11" s="112">
        <f t="shared" si="10"/>
        <v>0</v>
      </c>
      <c r="L11" s="112">
        <f t="shared" si="11"/>
        <v>0</v>
      </c>
      <c r="M11" s="112">
        <f t="shared" si="12"/>
        <v>0</v>
      </c>
      <c r="N11" s="112">
        <f t="shared" si="13"/>
        <v>0</v>
      </c>
      <c r="O11" s="112">
        <f t="shared" si="14"/>
        <v>0</v>
      </c>
      <c r="P11" s="53"/>
    </row>
    <row r="12" spans="1:18" ht="14.5" x14ac:dyDescent="0.35">
      <c r="A12" s="65">
        <v>2131</v>
      </c>
      <c r="B12" s="69" t="s">
        <v>31</v>
      </c>
      <c r="C12" s="51">
        <f>SUMIFS('Midnight Drawer'!H:H,'Midnight Drawer'!C:C,Summary!A12,'Midnight Drawer'!G:G,"5105")</f>
        <v>0</v>
      </c>
      <c r="D12" s="51">
        <f>SUMIFS('EFTs in MidN drawer'!E:E,'EFTs in MidN drawer'!A:A,Summary!A12,'EFTs in MidN drawer'!H:H,"After Midnight")</f>
        <v>0</v>
      </c>
      <c r="E12" s="51">
        <f>SUMIFS('EFTs in MidN drawer'!E:E,'EFTs in MidN drawer'!A:A,Summary!A12,'EFTs in MidN drawer'!H:H,"Before Bank Cut Off")</f>
        <v>0</v>
      </c>
      <c r="F12" s="112">
        <f>SUMIFS('EFTs in MidN drawer'!E:E,'EFTs in MidN drawer'!A:A,Summary!A12,'EFTs in MidN drawer'!H:H,"In Between")</f>
        <v>0</v>
      </c>
      <c r="G12" s="119">
        <f>SUMIF('Sales After Settlement Time'!A:A,Summary!A12,'Sales After Settlement Time'!C:C)</f>
        <v>0</v>
      </c>
      <c r="H12" s="52"/>
      <c r="I12" s="51">
        <f>IFERROR(VLOOKUP(B12,'5105 Opening'!A:B,2,FALSE),0)</f>
        <v>0</v>
      </c>
      <c r="J12" s="51">
        <f>IFERROR(VLOOKUP(B12,'5105'!A:B,2,FALSE),0)</f>
        <v>0</v>
      </c>
      <c r="K12" s="112">
        <f t="shared" si="10"/>
        <v>0</v>
      </c>
      <c r="L12" s="112">
        <f t="shared" si="11"/>
        <v>0</v>
      </c>
      <c r="M12" s="112">
        <f t="shared" si="12"/>
        <v>0</v>
      </c>
      <c r="N12" s="112">
        <f t="shared" si="13"/>
        <v>0</v>
      </c>
      <c r="O12" s="112">
        <f t="shared" si="14"/>
        <v>0</v>
      </c>
      <c r="P12" s="53"/>
    </row>
    <row r="13" spans="1:18" ht="14.5" x14ac:dyDescent="0.35">
      <c r="A13" s="65">
        <v>2133</v>
      </c>
      <c r="B13" s="57" t="s">
        <v>28</v>
      </c>
      <c r="C13" s="51">
        <f>SUMIFS('Midnight Drawer'!H:H,'Midnight Drawer'!C:C,Summary!A13,'Midnight Drawer'!G:G,"5105")</f>
        <v>0</v>
      </c>
      <c r="D13" s="51">
        <f>SUMIFS('EFTs in MidN drawer'!E:E,'EFTs in MidN drawer'!A:A,Summary!A13,'EFTs in MidN drawer'!H:H,"After Midnight")</f>
        <v>0</v>
      </c>
      <c r="E13" s="51">
        <f>SUMIFS('EFTs in MidN drawer'!E:E,'EFTs in MidN drawer'!A:A,Summary!A13,'EFTs in MidN drawer'!H:H,"Before Bank Cut Off")</f>
        <v>0</v>
      </c>
      <c r="F13" s="112">
        <f>SUMIFS('EFTs in MidN drawer'!E:E,'EFTs in MidN drawer'!A:A,Summary!A13,'EFTs in MidN drawer'!H:H,"In Between")</f>
        <v>0</v>
      </c>
      <c r="G13" s="119">
        <f>SUMIF('Sales After Settlement Time'!A:A,Summary!A13,'Sales After Settlement Time'!C:C)</f>
        <v>0</v>
      </c>
      <c r="H13" s="52"/>
      <c r="I13" s="51">
        <f>IFERROR(VLOOKUP(B13,'5105 Opening'!A:B,2,FALSE),0)</f>
        <v>0</v>
      </c>
      <c r="J13" s="51">
        <f>IFERROR(VLOOKUP(B13,'5105'!A:B,2,FALSE),0)</f>
        <v>0</v>
      </c>
      <c r="K13" s="112">
        <f t="shared" si="10"/>
        <v>0</v>
      </c>
      <c r="L13" s="112">
        <f t="shared" si="11"/>
        <v>0</v>
      </c>
      <c r="M13" s="112">
        <f t="shared" si="12"/>
        <v>0</v>
      </c>
      <c r="N13" s="112">
        <f t="shared" si="13"/>
        <v>0</v>
      </c>
      <c r="O13" s="112">
        <f t="shared" si="14"/>
        <v>0</v>
      </c>
      <c r="P13" s="53">
        <f>G13-F13</f>
        <v>0</v>
      </c>
      <c r="Q13" s="45" t="str">
        <f>LEFT(B13,4)&amp;5105</f>
        <v>20135105</v>
      </c>
    </row>
    <row r="14" spans="1:18" ht="14.5" x14ac:dyDescent="0.35">
      <c r="A14" s="65">
        <v>2120</v>
      </c>
      <c r="B14" s="57" t="s">
        <v>29</v>
      </c>
      <c r="C14" s="51">
        <f>SUMIFS('Midnight Drawer'!H:H,'Midnight Drawer'!C:C,Summary!A14,'Midnight Drawer'!G:G,"5105")</f>
        <v>0</v>
      </c>
      <c r="D14" s="51">
        <f>SUMIFS('EFTs in MidN drawer'!E:E,'EFTs in MidN drawer'!A:A,Summary!A14,'EFTs in MidN drawer'!H:H,"After Midnight")</f>
        <v>0</v>
      </c>
      <c r="E14" s="51">
        <f>SUMIFS('EFTs in MidN drawer'!E:E,'EFTs in MidN drawer'!A:A,Summary!A14,'EFTs in MidN drawer'!H:H,"Before Bank Cut Off")</f>
        <v>0</v>
      </c>
      <c r="F14" s="112">
        <f>SUMIFS('EFTs in MidN drawer'!E:E,'EFTs in MidN drawer'!A:A,Summary!A14,'EFTs in MidN drawer'!H:H,"In Between")</f>
        <v>0</v>
      </c>
      <c r="G14" s="119">
        <f>SUMIF('Sales After Settlement Time'!A:A,Summary!A14,'Sales After Settlement Time'!C:C)</f>
        <v>0</v>
      </c>
      <c r="H14" s="52"/>
      <c r="I14" s="51">
        <f>IFERROR(VLOOKUP(B14,'5105 Opening'!A:B,2,FALSE),0)</f>
        <v>0</v>
      </c>
      <c r="J14" s="51">
        <f>IFERROR(VLOOKUP(B14,'5105'!A:B,2,FALSE),0)</f>
        <v>0</v>
      </c>
      <c r="K14" s="112">
        <f t="shared" si="10"/>
        <v>0</v>
      </c>
      <c r="L14" s="112">
        <f t="shared" si="11"/>
        <v>0</v>
      </c>
      <c r="M14" s="112">
        <f t="shared" si="12"/>
        <v>0</v>
      </c>
      <c r="N14" s="112">
        <f t="shared" si="13"/>
        <v>0</v>
      </c>
      <c r="O14" s="112">
        <f t="shared" si="14"/>
        <v>0</v>
      </c>
      <c r="P14" s="53">
        <f>G14-F14</f>
        <v>0</v>
      </c>
      <c r="Q14" s="45" t="str">
        <f>LEFT(B14,4)&amp;5105</f>
        <v>21205105</v>
      </c>
    </row>
    <row r="15" spans="1:18" ht="14.5" x14ac:dyDescent="0.35">
      <c r="A15" s="65">
        <v>2136</v>
      </c>
      <c r="B15" s="57" t="s">
        <v>32</v>
      </c>
      <c r="C15" s="51">
        <f>SUMIFS('Midnight Drawer'!H:H,'Midnight Drawer'!C:C,Summary!A15,'Midnight Drawer'!G:G,"5105")</f>
        <v>0</v>
      </c>
      <c r="D15" s="51">
        <f>SUMIFS('EFTs in MidN drawer'!E:E,'EFTs in MidN drawer'!A:A,Summary!A15,'EFTs in MidN drawer'!H:H,"After Midnight")</f>
        <v>0</v>
      </c>
      <c r="E15" s="51">
        <f>SUMIFS('EFTs in MidN drawer'!E:E,'EFTs in MidN drawer'!A:A,Summary!A15,'EFTs in MidN drawer'!H:H,"Before Bank Cut Off")</f>
        <v>0</v>
      </c>
      <c r="F15" s="112">
        <f>SUMIFS('EFTs in MidN drawer'!E:E,'EFTs in MidN drawer'!A:A,Summary!A15,'EFTs in MidN drawer'!H:H,"In Between")</f>
        <v>0</v>
      </c>
      <c r="G15" s="119">
        <f>SUMIF('Sales After Settlement Time'!A:A,Summary!A15,'Sales After Settlement Time'!C:C)</f>
        <v>0</v>
      </c>
      <c r="H15" s="52"/>
      <c r="I15" s="51">
        <f>IFERROR(VLOOKUP(B15,'5105 Opening'!A:B,2,FALSE),0)</f>
        <v>0</v>
      </c>
      <c r="J15" s="51">
        <f>IFERROR(VLOOKUP(B15,'5105'!A:B,2,FALSE),0)</f>
        <v>0</v>
      </c>
      <c r="K15" s="112">
        <f t="shared" si="10"/>
        <v>0</v>
      </c>
      <c r="L15" s="112">
        <f t="shared" si="11"/>
        <v>0</v>
      </c>
      <c r="M15" s="112">
        <f t="shared" si="12"/>
        <v>0</v>
      </c>
      <c r="N15" s="112">
        <f t="shared" si="13"/>
        <v>0</v>
      </c>
      <c r="O15" s="112">
        <f t="shared" si="14"/>
        <v>0</v>
      </c>
      <c r="P15" s="53">
        <f>G15-F15</f>
        <v>0</v>
      </c>
      <c r="Q15" s="45" t="str">
        <f>LEFT(B15,4)&amp;5105</f>
        <v>21365105</v>
      </c>
    </row>
    <row r="16" spans="1:18" ht="14.5" x14ac:dyDescent="0.35">
      <c r="A16" s="65">
        <v>2137</v>
      </c>
      <c r="B16" s="57" t="s">
        <v>33</v>
      </c>
      <c r="C16" s="51">
        <f>SUMIFS('Midnight Drawer'!H:H,'Midnight Drawer'!C:C,Summary!A16,'Midnight Drawer'!G:G,"5105")</f>
        <v>0</v>
      </c>
      <c r="D16" s="51">
        <f>SUMIFS('EFTs in MidN drawer'!E:E,'EFTs in MidN drawer'!A:A,Summary!A16,'EFTs in MidN drawer'!H:H,"After Midnight")</f>
        <v>0</v>
      </c>
      <c r="E16" s="51">
        <f>SUMIFS('EFTs in MidN drawer'!E:E,'EFTs in MidN drawer'!A:A,Summary!A16,'EFTs in MidN drawer'!H:H,"Before Bank Cut Off")</f>
        <v>0</v>
      </c>
      <c r="F16" s="112">
        <f>SUMIFS('EFTs in MidN drawer'!E:E,'EFTs in MidN drawer'!A:A,Summary!A16,'EFTs in MidN drawer'!H:H,"In Between")</f>
        <v>0</v>
      </c>
      <c r="G16" s="119">
        <f>SUMIF('Sales After Settlement Time'!A:A,Summary!A16,'Sales After Settlement Time'!C:C)</f>
        <v>0</v>
      </c>
      <c r="H16" s="52"/>
      <c r="I16" s="51">
        <f>IFERROR(VLOOKUP(B16,'5105 Opening'!A:B,2,FALSE),0)</f>
        <v>0</v>
      </c>
      <c r="J16" s="51">
        <f>IFERROR(VLOOKUP(B16,'5105'!A:B,2,FALSE),0)</f>
        <v>0</v>
      </c>
      <c r="K16" s="112">
        <f t="shared" si="10"/>
        <v>0</v>
      </c>
      <c r="L16" s="112">
        <f t="shared" si="11"/>
        <v>0</v>
      </c>
      <c r="M16" s="112">
        <f t="shared" si="12"/>
        <v>0</v>
      </c>
      <c r="N16" s="112">
        <f t="shared" si="13"/>
        <v>0</v>
      </c>
      <c r="O16" s="112">
        <f t="shared" si="14"/>
        <v>0</v>
      </c>
      <c r="P16" s="53">
        <f>G16-F16</f>
        <v>0</v>
      </c>
      <c r="Q16" s="45" t="str">
        <f>LEFT(B16,4)&amp;5105</f>
        <v>21375105</v>
      </c>
    </row>
    <row r="17" spans="1:18" ht="14.5" x14ac:dyDescent="0.35">
      <c r="A17" s="65">
        <v>2225</v>
      </c>
      <c r="B17" s="57" t="s">
        <v>142</v>
      </c>
      <c r="C17" s="51">
        <f>SUMIFS('Midnight Drawer'!H:H,'Midnight Drawer'!C:C,Summary!A17,'Midnight Drawer'!G:G,"5105")</f>
        <v>0</v>
      </c>
      <c r="D17" s="51">
        <f>SUMIFS('EFTs in MidN drawer'!E:E,'EFTs in MidN drawer'!A:A,Summary!A17,'EFTs in MidN drawer'!H:H,"After Midnight")</f>
        <v>0</v>
      </c>
      <c r="E17" s="51">
        <f>SUMIFS('EFTs in MidN drawer'!E:E,'EFTs in MidN drawer'!A:A,Summary!A17,'EFTs in MidN drawer'!H:H,"Before Bank Cut Off")</f>
        <v>0</v>
      </c>
      <c r="F17" s="112">
        <f>SUMIFS('EFTs in MidN drawer'!E:E,'EFTs in MidN drawer'!A:A,Summary!A17,'EFTs in MidN drawer'!H:H,"In Between")</f>
        <v>0</v>
      </c>
      <c r="G17" s="119">
        <f>SUMIF('Sales After Settlement Time'!A:A,Summary!A17,'Sales After Settlement Time'!C:C)</f>
        <v>0</v>
      </c>
      <c r="H17" s="52"/>
      <c r="I17" s="51">
        <f>IFERROR(VLOOKUP(B17,'5105 Opening'!A:B,2,FALSE),0)</f>
        <v>0</v>
      </c>
      <c r="J17" s="51">
        <f>IFERROR(VLOOKUP(B17,'5105'!A:B,2,FALSE),0)</f>
        <v>0</v>
      </c>
      <c r="K17" s="112">
        <f t="shared" ref="K17" si="15">I17+J17</f>
        <v>0</v>
      </c>
      <c r="L17" s="112">
        <f t="shared" ref="L17" si="16">C17-D17</f>
        <v>0</v>
      </c>
      <c r="M17" s="112">
        <f t="shared" ref="M17" si="17">K17+L17</f>
        <v>0</v>
      </c>
      <c r="N17" s="112">
        <f t="shared" ref="N17" si="18">G17</f>
        <v>0</v>
      </c>
      <c r="O17" s="112">
        <f t="shared" ref="O17" si="19">M17-N17</f>
        <v>0</v>
      </c>
      <c r="P17" s="53"/>
      <c r="R17" s="88"/>
    </row>
    <row r="18" spans="1:18" ht="14.5" x14ac:dyDescent="0.35">
      <c r="A18" s="65">
        <v>2230</v>
      </c>
      <c r="B18" s="57" t="s">
        <v>34</v>
      </c>
      <c r="C18" s="51">
        <f>SUMIFS('Midnight Drawer'!H:H,'Midnight Drawer'!C:C,Summary!A18,'Midnight Drawer'!G:G,"5105")</f>
        <v>0</v>
      </c>
      <c r="D18" s="51">
        <f>SUMIFS('EFTs in MidN drawer'!E:E,'EFTs in MidN drawer'!A:A,Summary!A18,'EFTs in MidN drawer'!H:H,"After Midnight")</f>
        <v>0</v>
      </c>
      <c r="E18" s="51">
        <f>SUMIFS('EFTs in MidN drawer'!E:E,'EFTs in MidN drawer'!A:A,Summary!A18,'EFTs in MidN drawer'!H:H,"Before Bank Cut Off")</f>
        <v>0</v>
      </c>
      <c r="F18" s="112">
        <f>SUMIFS('EFTs in MidN drawer'!E:E,'EFTs in MidN drawer'!A:A,Summary!A18,'EFTs in MidN drawer'!H:H,"In Between")</f>
        <v>0</v>
      </c>
      <c r="G18" s="119">
        <f>SUMIF('Sales After Settlement Time'!A:A,Summary!A18,'Sales After Settlement Time'!C:C)</f>
        <v>0</v>
      </c>
      <c r="H18" s="52"/>
      <c r="I18" s="51">
        <f>IFERROR(VLOOKUP(B18,'5105 Opening'!A:B,2,FALSE),0)</f>
        <v>0</v>
      </c>
      <c r="J18" s="51">
        <f>IFERROR(VLOOKUP(B18,'5105'!A:B,2,FALSE),0)</f>
        <v>0</v>
      </c>
      <c r="K18" s="112">
        <f t="shared" si="10"/>
        <v>0</v>
      </c>
      <c r="L18" s="112">
        <f t="shared" si="11"/>
        <v>0</v>
      </c>
      <c r="M18" s="112">
        <f t="shared" si="12"/>
        <v>0</v>
      </c>
      <c r="N18" s="112">
        <f t="shared" si="13"/>
        <v>0</v>
      </c>
      <c r="O18" s="112">
        <f t="shared" si="14"/>
        <v>0</v>
      </c>
      <c r="P18" s="53">
        <f t="shared" ref="P18:P29" si="20">G18-F18</f>
        <v>0</v>
      </c>
      <c r="Q18" s="45" t="str">
        <f t="shared" ref="Q18:Q29" si="21">LEFT(B18,4)&amp;5105</f>
        <v>22305105</v>
      </c>
    </row>
    <row r="19" spans="1:18" ht="14.5" x14ac:dyDescent="0.35">
      <c r="A19" s="65">
        <v>2232</v>
      </c>
      <c r="B19" s="58" t="s">
        <v>85</v>
      </c>
      <c r="C19" s="51">
        <f>SUMIFS('Midnight Drawer'!H:H,'Midnight Drawer'!C:C,Summary!A19,'Midnight Drawer'!G:G,"5105")</f>
        <v>0</v>
      </c>
      <c r="D19" s="51">
        <f>SUMIFS('EFTs in MidN drawer'!E:E,'EFTs in MidN drawer'!A:A,Summary!A19,'EFTs in MidN drawer'!H:H,"After Midnight")</f>
        <v>0</v>
      </c>
      <c r="E19" s="51">
        <f>SUMIFS('EFTs in MidN drawer'!E:E,'EFTs in MidN drawer'!A:A,Summary!A19,'EFTs in MidN drawer'!H:H,"Before Bank Cut Off")</f>
        <v>0</v>
      </c>
      <c r="F19" s="112">
        <f>SUMIFS('EFTs in MidN drawer'!E:E,'EFTs in MidN drawer'!A:A,Summary!A19,'EFTs in MidN drawer'!H:H,"In Between")</f>
        <v>0</v>
      </c>
      <c r="G19" s="119">
        <f>SUMIF('Sales After Settlement Time'!A:A,Summary!A19,'Sales After Settlement Time'!C:C)</f>
        <v>0</v>
      </c>
      <c r="H19" s="52"/>
      <c r="I19" s="51">
        <f>IFERROR(VLOOKUP(B19,'5105 Opening'!A:B,2,FALSE),0)</f>
        <v>0</v>
      </c>
      <c r="J19" s="51">
        <f>IFERROR(VLOOKUP(B19,'5105'!A:B,2,FALSE),0)</f>
        <v>0</v>
      </c>
      <c r="K19" s="112">
        <f t="shared" si="10"/>
        <v>0</v>
      </c>
      <c r="L19" s="112">
        <f t="shared" si="11"/>
        <v>0</v>
      </c>
      <c r="M19" s="112">
        <f t="shared" si="12"/>
        <v>0</v>
      </c>
      <c r="N19" s="112">
        <f t="shared" si="13"/>
        <v>0</v>
      </c>
      <c r="O19" s="112">
        <f t="shared" si="14"/>
        <v>0</v>
      </c>
      <c r="P19" s="53">
        <f t="shared" si="20"/>
        <v>0</v>
      </c>
      <c r="Q19" s="45" t="str">
        <f t="shared" si="21"/>
        <v>22325105</v>
      </c>
      <c r="R19" s="88"/>
    </row>
    <row r="20" spans="1:18" ht="14.5" x14ac:dyDescent="0.35">
      <c r="A20" s="65">
        <v>2231</v>
      </c>
      <c r="B20" s="57" t="s">
        <v>35</v>
      </c>
      <c r="C20" s="51">
        <f>SUMIFS('Midnight Drawer'!H:H,'Midnight Drawer'!C:C,Summary!A20,'Midnight Drawer'!G:G,"5105")</f>
        <v>0</v>
      </c>
      <c r="D20" s="51">
        <f>SUMIFS('EFTs in MidN drawer'!E:E,'EFTs in MidN drawer'!A:A,Summary!A20,'EFTs in MidN drawer'!H:H,"After Midnight")</f>
        <v>0</v>
      </c>
      <c r="E20" s="51">
        <f>SUMIFS('EFTs in MidN drawer'!E:E,'EFTs in MidN drawer'!A:A,Summary!A20,'EFTs in MidN drawer'!H:H,"Before Bank Cut Off")</f>
        <v>0</v>
      </c>
      <c r="F20" s="112">
        <f>SUMIFS('EFTs in MidN drawer'!E:E,'EFTs in MidN drawer'!A:A,Summary!A20,'EFTs in MidN drawer'!H:H,"In Between")</f>
        <v>0</v>
      </c>
      <c r="G20" s="119">
        <f>SUMIF('Sales After Settlement Time'!A:A,Summary!A20,'Sales After Settlement Time'!C:C)</f>
        <v>0</v>
      </c>
      <c r="H20" s="52"/>
      <c r="I20" s="51">
        <f>IFERROR(VLOOKUP(B20,'5105 Opening'!A:B,2,FALSE),0)</f>
        <v>0</v>
      </c>
      <c r="J20" s="51">
        <f>IFERROR(VLOOKUP(B20,'5105'!A:B,2,FALSE),0)</f>
        <v>0</v>
      </c>
      <c r="K20" s="112">
        <f t="shared" si="10"/>
        <v>0</v>
      </c>
      <c r="L20" s="112">
        <f t="shared" si="11"/>
        <v>0</v>
      </c>
      <c r="M20" s="112">
        <f t="shared" si="12"/>
        <v>0</v>
      </c>
      <c r="N20" s="112">
        <f>G20</f>
        <v>0</v>
      </c>
      <c r="O20" s="112">
        <f t="shared" si="14"/>
        <v>0</v>
      </c>
      <c r="P20" s="53">
        <f t="shared" si="20"/>
        <v>0</v>
      </c>
      <c r="Q20" s="45" t="str">
        <f t="shared" si="21"/>
        <v>22315105</v>
      </c>
    </row>
    <row r="21" spans="1:18" ht="14.5" x14ac:dyDescent="0.35">
      <c r="A21" s="65">
        <v>2233</v>
      </c>
      <c r="B21" s="58" t="s">
        <v>86</v>
      </c>
      <c r="C21" s="51">
        <f>SUMIFS('Midnight Drawer'!H:H,'Midnight Drawer'!C:C,Summary!A21,'Midnight Drawer'!G:G,"5105")</f>
        <v>0</v>
      </c>
      <c r="D21" s="51">
        <f>SUMIFS('EFTs in MidN drawer'!E:E,'EFTs in MidN drawer'!A:A,Summary!A21,'EFTs in MidN drawer'!H:H,"After Midnight")</f>
        <v>0</v>
      </c>
      <c r="E21" s="51">
        <f>SUMIFS('EFTs in MidN drawer'!E:E,'EFTs in MidN drawer'!A:A,Summary!A21,'EFTs in MidN drawer'!H:H,"Before Bank Cut Off")</f>
        <v>0</v>
      </c>
      <c r="F21" s="112">
        <f>SUMIFS('EFTs in MidN drawer'!E:E,'EFTs in MidN drawer'!A:A,Summary!A21,'EFTs in MidN drawer'!H:H,"In Between")</f>
        <v>0</v>
      </c>
      <c r="G21" s="119">
        <f>SUMIF('Sales After Settlement Time'!A:A,Summary!A21,'Sales After Settlement Time'!C:C)</f>
        <v>0</v>
      </c>
      <c r="H21" s="52"/>
      <c r="I21" s="51">
        <f>IFERROR(VLOOKUP(B21,'5105 Opening'!A:B,2,FALSE),0)</f>
        <v>0</v>
      </c>
      <c r="J21" s="51">
        <f>IFERROR(VLOOKUP(B21,'5105'!A:B,2,FALSE),0)</f>
        <v>0</v>
      </c>
      <c r="K21" s="112">
        <f t="shared" si="10"/>
        <v>0</v>
      </c>
      <c r="L21" s="112">
        <f t="shared" si="11"/>
        <v>0</v>
      </c>
      <c r="M21" s="112">
        <f t="shared" si="12"/>
        <v>0</v>
      </c>
      <c r="N21" s="112">
        <f t="shared" si="13"/>
        <v>0</v>
      </c>
      <c r="O21" s="112">
        <f t="shared" si="14"/>
        <v>0</v>
      </c>
      <c r="P21" s="53">
        <f t="shared" si="20"/>
        <v>0</v>
      </c>
      <c r="Q21" s="45" t="str">
        <f t="shared" si="21"/>
        <v>22335105</v>
      </c>
      <c r="R21" s="88"/>
    </row>
    <row r="22" spans="1:18" ht="14.5" x14ac:dyDescent="0.35">
      <c r="A22" s="65">
        <v>2234</v>
      </c>
      <c r="B22" s="58" t="s">
        <v>87</v>
      </c>
      <c r="C22" s="51">
        <f>SUMIFS('Midnight Drawer'!H:H,'Midnight Drawer'!C:C,Summary!A22,'Midnight Drawer'!G:G,"5105")</f>
        <v>0</v>
      </c>
      <c r="D22" s="51">
        <f>SUMIFS('EFTs in MidN drawer'!E:E,'EFTs in MidN drawer'!A:A,Summary!A22,'EFTs in MidN drawer'!H:H,"After Midnight")</f>
        <v>0</v>
      </c>
      <c r="E22" s="51">
        <f>SUMIFS('EFTs in MidN drawer'!E:E,'EFTs in MidN drawer'!A:A,Summary!A22,'EFTs in MidN drawer'!H:H,"Before Bank Cut Off")</f>
        <v>0</v>
      </c>
      <c r="F22" s="112">
        <f>SUMIFS('EFTs in MidN drawer'!E:E,'EFTs in MidN drawer'!A:A,Summary!A22,'EFTs in MidN drawer'!H:H,"In Between")</f>
        <v>0</v>
      </c>
      <c r="G22" s="119">
        <f>SUMIF('Sales After Settlement Time'!A:A,Summary!A22,'Sales After Settlement Time'!C:C)</f>
        <v>0</v>
      </c>
      <c r="H22" s="52"/>
      <c r="I22" s="51">
        <f>IFERROR(VLOOKUP(B22,'5105 Opening'!A:B,2,FALSE),0)</f>
        <v>0</v>
      </c>
      <c r="J22" s="51">
        <f>IFERROR(VLOOKUP(B22,'5105'!A:B,2,FALSE),0)</f>
        <v>0</v>
      </c>
      <c r="K22" s="112">
        <f t="shared" si="10"/>
        <v>0</v>
      </c>
      <c r="L22" s="112">
        <f t="shared" si="11"/>
        <v>0</v>
      </c>
      <c r="M22" s="112">
        <f t="shared" si="12"/>
        <v>0</v>
      </c>
      <c r="N22" s="112">
        <f t="shared" si="13"/>
        <v>0</v>
      </c>
      <c r="O22" s="112">
        <f t="shared" si="14"/>
        <v>0</v>
      </c>
      <c r="P22" s="53">
        <f t="shared" si="20"/>
        <v>0</v>
      </c>
      <c r="Q22" s="45" t="str">
        <f t="shared" si="21"/>
        <v>22345105</v>
      </c>
    </row>
    <row r="23" spans="1:18" ht="14.5" x14ac:dyDescent="0.35">
      <c r="A23" s="65">
        <v>2450</v>
      </c>
      <c r="B23" s="57" t="s">
        <v>36</v>
      </c>
      <c r="C23" s="51">
        <f>SUMIFS('Midnight Drawer'!H:H,'Midnight Drawer'!C:C,Summary!A23,'Midnight Drawer'!G:G,"5105")</f>
        <v>0</v>
      </c>
      <c r="D23" s="51">
        <f>SUMIFS('EFTs in MidN drawer'!E:E,'EFTs in MidN drawer'!A:A,Summary!A23,'EFTs in MidN drawer'!H:H,"After Midnight")</f>
        <v>0</v>
      </c>
      <c r="E23" s="51">
        <f>SUMIFS('EFTs in MidN drawer'!E:E,'EFTs in MidN drawer'!A:A,Summary!A23,'EFTs in MidN drawer'!H:H,"Before Bank Cut Off")</f>
        <v>0</v>
      </c>
      <c r="F23" s="112">
        <f>SUMIFS('EFTs in MidN drawer'!E:E,'EFTs in MidN drawer'!A:A,Summary!A23,'EFTs in MidN drawer'!H:H,"In Between")</f>
        <v>0</v>
      </c>
      <c r="G23" s="119">
        <f>SUMIF('Sales After Settlement Time'!A:A,Summary!A23,'Sales After Settlement Time'!C:C)</f>
        <v>0</v>
      </c>
      <c r="H23" s="52"/>
      <c r="I23" s="51">
        <f>IFERROR(VLOOKUP(B23,'5105 Opening'!A:B,2,FALSE),0)</f>
        <v>0</v>
      </c>
      <c r="J23" s="51">
        <f>IFERROR(VLOOKUP(B23,'5105'!A:B,2,FALSE),0)</f>
        <v>0</v>
      </c>
      <c r="K23" s="112">
        <f t="shared" si="10"/>
        <v>0</v>
      </c>
      <c r="L23" s="112">
        <f t="shared" si="11"/>
        <v>0</v>
      </c>
      <c r="M23" s="112">
        <f t="shared" si="12"/>
        <v>0</v>
      </c>
      <c r="N23" s="112">
        <f t="shared" si="13"/>
        <v>0</v>
      </c>
      <c r="O23" s="112">
        <f t="shared" si="14"/>
        <v>0</v>
      </c>
      <c r="P23" s="53">
        <f t="shared" si="20"/>
        <v>0</v>
      </c>
      <c r="Q23" s="45" t="str">
        <f t="shared" si="21"/>
        <v>24505105</v>
      </c>
    </row>
    <row r="24" spans="1:18" ht="14.5" x14ac:dyDescent="0.35">
      <c r="A24" s="65">
        <v>3191</v>
      </c>
      <c r="B24" s="57" t="s">
        <v>37</v>
      </c>
      <c r="C24" s="51">
        <f>SUMIFS('Midnight Drawer'!H:H,'Midnight Drawer'!C:C,Summary!A24,'Midnight Drawer'!G:G,"5105")</f>
        <v>0</v>
      </c>
      <c r="D24" s="51">
        <f>SUMIFS('EFTs in MidN drawer'!E:E,'EFTs in MidN drawer'!A:A,Summary!A24,'EFTs in MidN drawer'!H:H,"After Midnight")</f>
        <v>0</v>
      </c>
      <c r="E24" s="51">
        <f>SUMIFS('EFTs in MidN drawer'!E:E,'EFTs in MidN drawer'!A:A,Summary!A24,'EFTs in MidN drawer'!H:H,"Before Bank Cut Off")</f>
        <v>0</v>
      </c>
      <c r="F24" s="112">
        <f>SUMIFS('EFTs in MidN drawer'!E:E,'EFTs in MidN drawer'!A:A,Summary!A24,'EFTs in MidN drawer'!H:H,"In Between")</f>
        <v>0</v>
      </c>
      <c r="G24" s="119">
        <f>SUMIF('Sales After Settlement Time'!A:A,Summary!A24,'Sales After Settlement Time'!C:C)</f>
        <v>0</v>
      </c>
      <c r="H24" s="52"/>
      <c r="I24" s="51">
        <f>IFERROR(VLOOKUP(B24,'5105 Opening'!A:B,2,FALSE),0)</f>
        <v>0</v>
      </c>
      <c r="J24" s="51">
        <f>IFERROR(VLOOKUP(B24,'5105'!A:B,2,FALSE),0)</f>
        <v>0</v>
      </c>
      <c r="K24" s="112">
        <f t="shared" si="10"/>
        <v>0</v>
      </c>
      <c r="L24" s="112">
        <f>C24-D24</f>
        <v>0</v>
      </c>
      <c r="M24" s="112">
        <f t="shared" si="12"/>
        <v>0</v>
      </c>
      <c r="N24" s="112">
        <f t="shared" si="13"/>
        <v>0</v>
      </c>
      <c r="O24" s="112">
        <f t="shared" si="14"/>
        <v>0</v>
      </c>
      <c r="P24" s="53">
        <f t="shared" si="20"/>
        <v>0</v>
      </c>
      <c r="Q24" s="45" t="str">
        <f t="shared" si="21"/>
        <v>30195105</v>
      </c>
      <c r="R24" s="88"/>
    </row>
    <row r="25" spans="1:18" ht="14.5" x14ac:dyDescent="0.35">
      <c r="A25" s="65">
        <v>3251</v>
      </c>
      <c r="B25" s="57" t="s">
        <v>38</v>
      </c>
      <c r="C25" s="51">
        <f>SUMIFS('Midnight Drawer'!H:H,'Midnight Drawer'!C:C,Summary!A25,'Midnight Drawer'!G:G,"5105")</f>
        <v>0</v>
      </c>
      <c r="D25" s="51">
        <f>SUMIFS('EFTs in MidN drawer'!E:E,'EFTs in MidN drawer'!A:A,Summary!A25,'EFTs in MidN drawer'!H:H,"After Midnight")</f>
        <v>0</v>
      </c>
      <c r="E25" s="51">
        <f>SUMIFS('EFTs in MidN drawer'!E:E,'EFTs in MidN drawer'!A:A,Summary!A25,'EFTs in MidN drawer'!H:H,"Before Bank Cut Off")</f>
        <v>0</v>
      </c>
      <c r="F25" s="112">
        <f>SUMIFS('EFTs in MidN drawer'!E:E,'EFTs in MidN drawer'!A:A,Summary!A25,'EFTs in MidN drawer'!H:H,"In Between")</f>
        <v>0</v>
      </c>
      <c r="G25" s="119">
        <f>SUMIF('Sales After Settlement Time'!A:A,Summary!A25,'Sales After Settlement Time'!C:C)</f>
        <v>0</v>
      </c>
      <c r="H25" s="52"/>
      <c r="I25" s="51">
        <f>IFERROR(VLOOKUP(B25,'5105 Opening'!A:B,2,FALSE),0)</f>
        <v>0</v>
      </c>
      <c r="J25" s="51">
        <f>IFERROR(VLOOKUP(B25,'5105'!A:B,2,FALSE),0)</f>
        <v>0</v>
      </c>
      <c r="K25" s="112">
        <f t="shared" si="10"/>
        <v>0</v>
      </c>
      <c r="L25" s="112">
        <f t="shared" si="11"/>
        <v>0</v>
      </c>
      <c r="M25" s="112">
        <f t="shared" si="12"/>
        <v>0</v>
      </c>
      <c r="N25" s="112">
        <f t="shared" si="13"/>
        <v>0</v>
      </c>
      <c r="O25" s="112">
        <f t="shared" si="14"/>
        <v>0</v>
      </c>
      <c r="P25" s="53">
        <f t="shared" si="20"/>
        <v>0</v>
      </c>
      <c r="Q25" s="45" t="str">
        <f t="shared" si="21"/>
        <v>30255105</v>
      </c>
    </row>
    <row r="26" spans="1:18" ht="14.5" x14ac:dyDescent="0.35">
      <c r="A26" s="65">
        <v>3284</v>
      </c>
      <c r="B26" s="57" t="s">
        <v>39</v>
      </c>
      <c r="C26" s="51">
        <f>SUMIFS('Midnight Drawer'!H:H,'Midnight Drawer'!C:C,Summary!A26,'Midnight Drawer'!G:G,"5105")</f>
        <v>0</v>
      </c>
      <c r="D26" s="51">
        <f>SUMIFS('EFTs in MidN drawer'!E:E,'EFTs in MidN drawer'!A:A,Summary!A26,'EFTs in MidN drawer'!H:H,"After Midnight")</f>
        <v>0</v>
      </c>
      <c r="E26" s="51">
        <f>SUMIFS('EFTs in MidN drawer'!E:E,'EFTs in MidN drawer'!A:A,Summary!A26,'EFTs in MidN drawer'!H:H,"Before Bank Cut Off")</f>
        <v>0</v>
      </c>
      <c r="F26" s="112">
        <f>SUMIFS('EFTs in MidN drawer'!E:E,'EFTs in MidN drawer'!A:A,Summary!A26,'EFTs in MidN drawer'!H:H,"In Between")</f>
        <v>0</v>
      </c>
      <c r="G26" s="119">
        <f>SUMIF('Sales After Settlement Time'!A:A,Summary!A26,'Sales After Settlement Time'!C:C)</f>
        <v>0</v>
      </c>
      <c r="H26" s="52"/>
      <c r="I26" s="51">
        <f>IFERROR(VLOOKUP(B26,'5105 Opening'!A:B,2,FALSE),0)</f>
        <v>0</v>
      </c>
      <c r="J26" s="51">
        <f>IFERROR(VLOOKUP(B26,'5105'!A:B,2,FALSE),0)</f>
        <v>0</v>
      </c>
      <c r="K26" s="112">
        <f t="shared" si="10"/>
        <v>0</v>
      </c>
      <c r="L26" s="112">
        <f t="shared" si="11"/>
        <v>0</v>
      </c>
      <c r="M26" s="112">
        <f t="shared" si="12"/>
        <v>0</v>
      </c>
      <c r="N26" s="112">
        <f t="shared" si="13"/>
        <v>0</v>
      </c>
      <c r="O26" s="112">
        <f t="shared" si="14"/>
        <v>0</v>
      </c>
      <c r="P26" s="53">
        <f t="shared" si="20"/>
        <v>0</v>
      </c>
      <c r="Q26" s="45" t="str">
        <f t="shared" si="21"/>
        <v>30285105</v>
      </c>
    </row>
    <row r="27" spans="1:18" ht="14.5" x14ac:dyDescent="0.35">
      <c r="A27" s="65">
        <v>3343</v>
      </c>
      <c r="B27" s="57" t="s">
        <v>40</v>
      </c>
      <c r="C27" s="51">
        <f>SUMIFS('Midnight Drawer'!H:H,'Midnight Drawer'!C:C,Summary!A27,'Midnight Drawer'!G:G,"5105")</f>
        <v>0</v>
      </c>
      <c r="D27" s="51">
        <f>SUMIFS('EFTs in MidN drawer'!E:E,'EFTs in MidN drawer'!A:A,Summary!A27,'EFTs in MidN drawer'!H:H,"After Midnight")</f>
        <v>0</v>
      </c>
      <c r="E27" s="51">
        <f>SUMIFS('EFTs in MidN drawer'!E:E,'EFTs in MidN drawer'!A:A,Summary!A27,'EFTs in MidN drawer'!H:H,"Before Bank Cut Off")</f>
        <v>0</v>
      </c>
      <c r="F27" s="112">
        <f>SUMIFS('EFTs in MidN drawer'!E:E,'EFTs in MidN drawer'!A:A,Summary!A27,'EFTs in MidN drawer'!H:H,"In Between")</f>
        <v>0</v>
      </c>
      <c r="G27" s="119">
        <f>SUMIF('Sales After Settlement Time'!A:A,Summary!A27,'Sales After Settlement Time'!C:C)</f>
        <v>0</v>
      </c>
      <c r="H27" s="52"/>
      <c r="I27" s="51">
        <f>IFERROR(VLOOKUP(B27,'5105 Opening'!A:B,2,FALSE),0)</f>
        <v>0</v>
      </c>
      <c r="J27" s="51">
        <f>IFERROR(VLOOKUP(B27,'5105'!A:B,2,FALSE),0)</f>
        <v>0</v>
      </c>
      <c r="K27" s="112">
        <f t="shared" si="10"/>
        <v>0</v>
      </c>
      <c r="L27" s="112">
        <f t="shared" si="11"/>
        <v>0</v>
      </c>
      <c r="M27" s="112">
        <f t="shared" si="12"/>
        <v>0</v>
      </c>
      <c r="N27" s="112">
        <f t="shared" si="13"/>
        <v>0</v>
      </c>
      <c r="O27" s="112">
        <f t="shared" si="14"/>
        <v>0</v>
      </c>
      <c r="P27" s="53">
        <f t="shared" si="20"/>
        <v>0</v>
      </c>
      <c r="Q27" s="45" t="str">
        <f t="shared" si="21"/>
        <v>30345105</v>
      </c>
    </row>
    <row r="28" spans="1:18" ht="14.5" x14ac:dyDescent="0.35">
      <c r="A28" s="65">
        <v>3175</v>
      </c>
      <c r="B28" s="57" t="s">
        <v>41</v>
      </c>
      <c r="C28" s="51">
        <f>SUMIFS('Midnight Drawer'!H:H,'Midnight Drawer'!C:C,Summary!A28,'Midnight Drawer'!G:G,"5105")</f>
        <v>0</v>
      </c>
      <c r="D28" s="51">
        <f>SUMIFS('EFTs in MidN drawer'!E:E,'EFTs in MidN drawer'!A:A,Summary!A28,'EFTs in MidN drawer'!H:H,"After Midnight")</f>
        <v>0</v>
      </c>
      <c r="E28" s="51">
        <f>SUMIFS('EFTs in MidN drawer'!E:E,'EFTs in MidN drawer'!A:A,Summary!A28,'EFTs in MidN drawer'!H:H,"Before Bank Cut Off")</f>
        <v>0</v>
      </c>
      <c r="F28" s="112">
        <f>SUMIFS('EFTs in MidN drawer'!E:E,'EFTs in MidN drawer'!A:A,Summary!A28,'EFTs in MidN drawer'!H:H,"In Between")</f>
        <v>0</v>
      </c>
      <c r="G28" s="119">
        <f>SUMIF('Sales After Settlement Time'!A:A,Summary!A28,'Sales After Settlement Time'!C:C)</f>
        <v>0</v>
      </c>
      <c r="H28" s="52"/>
      <c r="I28" s="51">
        <f>IFERROR(VLOOKUP(B28,'5105 Opening'!A:B,2,FALSE),0)</f>
        <v>0</v>
      </c>
      <c r="J28" s="51">
        <f>IFERROR(VLOOKUP(B28,'5105'!A:B,2,FALSE),0)</f>
        <v>-334.95000000000005</v>
      </c>
      <c r="K28" s="112">
        <f t="shared" si="10"/>
        <v>-334.95000000000005</v>
      </c>
      <c r="L28" s="112">
        <f t="shared" si="11"/>
        <v>0</v>
      </c>
      <c r="M28" s="112">
        <f t="shared" si="12"/>
        <v>-334.95000000000005</v>
      </c>
      <c r="N28" s="112">
        <f t="shared" si="13"/>
        <v>0</v>
      </c>
      <c r="O28" s="112">
        <f t="shared" si="14"/>
        <v>-334.95000000000005</v>
      </c>
      <c r="P28" s="53">
        <f t="shared" si="20"/>
        <v>0</v>
      </c>
      <c r="Q28" s="45" t="str">
        <f t="shared" si="21"/>
        <v>31755105</v>
      </c>
      <c r="R28" s="87" t="s">
        <v>246</v>
      </c>
    </row>
    <row r="29" spans="1:18" ht="14.5" x14ac:dyDescent="0.35">
      <c r="A29" s="65">
        <v>3213</v>
      </c>
      <c r="B29" s="57" t="s">
        <v>42</v>
      </c>
      <c r="C29" s="51">
        <f>SUMIFS('Midnight Drawer'!H:H,'Midnight Drawer'!C:C,Summary!A29,'Midnight Drawer'!G:G,"5105")</f>
        <v>0</v>
      </c>
      <c r="D29" s="51">
        <f>SUMIFS('EFTs in MidN drawer'!E:E,'EFTs in MidN drawer'!A:A,Summary!A29,'EFTs in MidN drawer'!H:H,"After Midnight")</f>
        <v>0</v>
      </c>
      <c r="E29" s="51">
        <f>SUMIFS('EFTs in MidN drawer'!E:E,'EFTs in MidN drawer'!A:A,Summary!A29,'EFTs in MidN drawer'!H:H,"Before Bank Cut Off")</f>
        <v>0</v>
      </c>
      <c r="F29" s="112">
        <f>SUMIFS('EFTs in MidN drawer'!E:E,'EFTs in MidN drawer'!A:A,Summary!A29,'EFTs in MidN drawer'!H:H,"In Between")</f>
        <v>0</v>
      </c>
      <c r="G29" s="119">
        <f>SUMIF('Sales After Settlement Time'!A:A,Summary!A29,'Sales After Settlement Time'!C:C)</f>
        <v>0</v>
      </c>
      <c r="H29" s="52"/>
      <c r="I29" s="51">
        <f>IFERROR(VLOOKUP(B29,'5105 Opening'!A:B,2,FALSE),0)</f>
        <v>0</v>
      </c>
      <c r="J29" s="51">
        <f>IFERROR(VLOOKUP(B29,'5105'!A:B,2,FALSE),0)</f>
        <v>0</v>
      </c>
      <c r="K29" s="112">
        <f t="shared" si="10"/>
        <v>0</v>
      </c>
      <c r="L29" s="112">
        <f t="shared" si="11"/>
        <v>0</v>
      </c>
      <c r="M29" s="112">
        <f t="shared" si="12"/>
        <v>0</v>
      </c>
      <c r="N29" s="112">
        <f t="shared" si="13"/>
        <v>0</v>
      </c>
      <c r="O29" s="112">
        <f t="shared" si="14"/>
        <v>0</v>
      </c>
      <c r="P29" s="53">
        <f t="shared" si="20"/>
        <v>0</v>
      </c>
      <c r="Q29" s="45" t="str">
        <f t="shared" si="21"/>
        <v>32135105</v>
      </c>
    </row>
    <row r="30" spans="1:18" ht="14.5" x14ac:dyDescent="0.35">
      <c r="A30" s="65">
        <v>3228</v>
      </c>
      <c r="B30" s="86" t="s">
        <v>136</v>
      </c>
      <c r="C30" s="51">
        <f>SUMIFS('Midnight Drawer'!H:H,'Midnight Drawer'!C:C,Summary!A30,'Midnight Drawer'!G:G,"5105")</f>
        <v>0</v>
      </c>
      <c r="D30" s="51">
        <f>SUMIFS('EFTs in MidN drawer'!E:E,'EFTs in MidN drawer'!A:A,Summary!A30,'EFTs in MidN drawer'!H:H,"After Midnight")</f>
        <v>0</v>
      </c>
      <c r="E30" s="51">
        <f>SUMIFS('EFTs in MidN drawer'!E:E,'EFTs in MidN drawer'!A:A,Summary!A30,'EFTs in MidN drawer'!H:H,"Before Bank Cut Off")</f>
        <v>0</v>
      </c>
      <c r="F30" s="112">
        <f>SUMIFS('EFTs in MidN drawer'!E:E,'EFTs in MidN drawer'!A:A,Summary!A30,'EFTs in MidN drawer'!H:H,"In Between")</f>
        <v>0</v>
      </c>
      <c r="G30" s="119">
        <f>SUMIF('Sales After Settlement Time'!A:A,Summary!A30,'Sales After Settlement Time'!C:C)</f>
        <v>0</v>
      </c>
      <c r="H30" s="52"/>
      <c r="I30" s="51">
        <f>IFERROR(VLOOKUP(B30,'5105 Opening'!A:B,2,FALSE),0)</f>
        <v>0</v>
      </c>
      <c r="J30" s="51">
        <f>IFERROR(VLOOKUP(B30,'5105'!A:B,2,FALSE),0)</f>
        <v>0</v>
      </c>
      <c r="K30" s="112">
        <f t="shared" ref="K30" si="22">I30+J30</f>
        <v>0</v>
      </c>
      <c r="L30" s="112">
        <f t="shared" ref="L30" si="23">C30-D30</f>
        <v>0</v>
      </c>
      <c r="M30" s="112">
        <f t="shared" ref="M30" si="24">K30+L30</f>
        <v>0</v>
      </c>
      <c r="N30" s="112">
        <f t="shared" ref="N30" si="25">G30</f>
        <v>0</v>
      </c>
      <c r="O30" s="112">
        <f t="shared" ref="O30" si="26">M30-N30</f>
        <v>0</v>
      </c>
      <c r="P30" s="53"/>
    </row>
    <row r="31" spans="1:18" ht="14.5" x14ac:dyDescent="0.35">
      <c r="A31" s="65">
        <v>4051</v>
      </c>
      <c r="B31" s="57" t="s">
        <v>43</v>
      </c>
      <c r="C31" s="51">
        <f>SUMIFS('Midnight Drawer'!H:H,'Midnight Drawer'!C:C,Summary!A31,'Midnight Drawer'!G:G,"5105")</f>
        <v>0</v>
      </c>
      <c r="D31" s="51">
        <f>SUMIFS('EFTs in MidN drawer'!E:E,'EFTs in MidN drawer'!A:A,Summary!A31,'EFTs in MidN drawer'!H:H,"After Midnight")</f>
        <v>0</v>
      </c>
      <c r="E31" s="51">
        <f>SUMIFS('EFTs in MidN drawer'!E:E,'EFTs in MidN drawer'!A:A,Summary!A31,'EFTs in MidN drawer'!H:H,"Before Bank Cut Off")</f>
        <v>0</v>
      </c>
      <c r="F31" s="112">
        <f>SUMIFS('EFTs in MidN drawer'!E:E,'EFTs in MidN drawer'!A:A,Summary!A31,'EFTs in MidN drawer'!H:H,"In Between")</f>
        <v>0</v>
      </c>
      <c r="G31" s="119">
        <f>SUMIF('Sales After Settlement Time'!A:A,Summary!A31,'Sales After Settlement Time'!C:C)</f>
        <v>0</v>
      </c>
      <c r="H31" s="52"/>
      <c r="I31" s="51">
        <f>IFERROR(VLOOKUP(B31,'5105 Opening'!A:B,2,FALSE),0)</f>
        <v>0</v>
      </c>
      <c r="J31" s="51">
        <f>IFERROR(VLOOKUP(B31,'5105'!A:B,2,FALSE),0)</f>
        <v>0</v>
      </c>
      <c r="K31" s="112">
        <f t="shared" si="10"/>
        <v>0</v>
      </c>
      <c r="L31" s="112">
        <f t="shared" si="11"/>
        <v>0</v>
      </c>
      <c r="M31" s="112">
        <f t="shared" si="12"/>
        <v>0</v>
      </c>
      <c r="N31" s="112">
        <f t="shared" si="13"/>
        <v>0</v>
      </c>
      <c r="O31" s="112">
        <f t="shared" si="14"/>
        <v>0</v>
      </c>
      <c r="P31" s="53">
        <f>G31-F31</f>
        <v>0</v>
      </c>
      <c r="Q31" s="45" t="str">
        <f>LEFT(B31,4)&amp;5105</f>
        <v>40055105</v>
      </c>
    </row>
    <row r="32" spans="1:18" ht="14.5" x14ac:dyDescent="0.35">
      <c r="A32" s="65">
        <v>4024</v>
      </c>
      <c r="B32" s="57" t="s">
        <v>44</v>
      </c>
      <c r="C32" s="51">
        <f>SUMIFS('Midnight Drawer'!H:H,'Midnight Drawer'!C:C,Summary!A32,'Midnight Drawer'!G:G,"5105")</f>
        <v>0</v>
      </c>
      <c r="D32" s="51">
        <f>SUMIFS('EFTs in MidN drawer'!E:E,'EFTs in MidN drawer'!A:A,Summary!A32,'EFTs in MidN drawer'!H:H,"After Midnight")</f>
        <v>0</v>
      </c>
      <c r="E32" s="51">
        <f>SUMIFS('EFTs in MidN drawer'!E:E,'EFTs in MidN drawer'!A:A,Summary!A32,'EFTs in MidN drawer'!H:H,"Before Bank Cut Off")</f>
        <v>0</v>
      </c>
      <c r="F32" s="112">
        <f>SUMIFS('EFTs in MidN drawer'!E:E,'EFTs in MidN drawer'!A:A,Summary!A32,'EFTs in MidN drawer'!H:H,"In Between")</f>
        <v>0</v>
      </c>
      <c r="G32" s="119">
        <f>SUMIF('Sales After Settlement Time'!A:A,Summary!A32,'Sales After Settlement Time'!C:C)</f>
        <v>0</v>
      </c>
      <c r="H32" s="52"/>
      <c r="I32" s="51">
        <f>IFERROR(VLOOKUP(B32,'5105 Opening'!A:B,2,FALSE),0)</f>
        <v>0</v>
      </c>
      <c r="J32" s="51">
        <f>IFERROR(VLOOKUP(B32,'5105'!A:B,2,FALSE),0)</f>
        <v>0</v>
      </c>
      <c r="K32" s="112">
        <f t="shared" si="10"/>
        <v>0</v>
      </c>
      <c r="L32" s="112">
        <f>C32-D32</f>
        <v>0</v>
      </c>
      <c r="M32" s="112">
        <f>K32+L32</f>
        <v>0</v>
      </c>
      <c r="N32" s="112">
        <f t="shared" si="13"/>
        <v>0</v>
      </c>
      <c r="O32" s="112">
        <f t="shared" si="14"/>
        <v>0</v>
      </c>
      <c r="P32" s="53">
        <f>G32-F32</f>
        <v>0</v>
      </c>
      <c r="Q32" s="45" t="str">
        <f>LEFT(B32,4)&amp;5105</f>
        <v>40245105</v>
      </c>
    </row>
    <row r="33" spans="1:18" ht="14.5" x14ac:dyDescent="0.35">
      <c r="A33" s="65">
        <v>4361</v>
      </c>
      <c r="B33" s="57" t="s">
        <v>45</v>
      </c>
      <c r="C33" s="51">
        <f>SUMIFS('Midnight Drawer'!H:H,'Midnight Drawer'!C:C,Summary!A33,'Midnight Drawer'!G:G,"5105")</f>
        <v>0</v>
      </c>
      <c r="D33" s="51">
        <f>SUMIFS('EFTs in MidN drawer'!E:E,'EFTs in MidN drawer'!A:A,Summary!A33,'EFTs in MidN drawer'!H:H,"After Midnight")</f>
        <v>0</v>
      </c>
      <c r="E33" s="51">
        <f>SUMIFS('EFTs in MidN drawer'!E:E,'EFTs in MidN drawer'!A:A,Summary!A33,'EFTs in MidN drawer'!H:H,"Before Bank Cut Off")</f>
        <v>0</v>
      </c>
      <c r="F33" s="112">
        <f>SUMIFS('EFTs in MidN drawer'!E:E,'EFTs in MidN drawer'!A:A,Summary!A33,'EFTs in MidN drawer'!H:H,"In Between")</f>
        <v>0</v>
      </c>
      <c r="G33" s="119">
        <f>SUMIF('Sales After Settlement Time'!A:A,Summary!A33,'Sales After Settlement Time'!C:C)</f>
        <v>0</v>
      </c>
      <c r="H33" s="52"/>
      <c r="I33" s="51">
        <f>IFERROR(VLOOKUP(B33,'5105 Opening'!A:B,2,FALSE),0)</f>
        <v>0</v>
      </c>
      <c r="J33" s="51">
        <f>IFERROR(VLOOKUP(B33,'5105'!A:B,2,FALSE),0)</f>
        <v>0</v>
      </c>
      <c r="K33" s="112">
        <f t="shared" si="10"/>
        <v>0</v>
      </c>
      <c r="L33" s="112">
        <f t="shared" si="11"/>
        <v>0</v>
      </c>
      <c r="M33" s="112">
        <f t="shared" si="12"/>
        <v>0</v>
      </c>
      <c r="N33" s="112">
        <f t="shared" si="13"/>
        <v>0</v>
      </c>
      <c r="O33" s="112">
        <f t="shared" si="14"/>
        <v>0</v>
      </c>
      <c r="P33" s="53">
        <f>G33-F33</f>
        <v>0</v>
      </c>
      <c r="Q33" s="45" t="str">
        <f>LEFT(B33,4)&amp;5105</f>
        <v>40365105</v>
      </c>
    </row>
    <row r="34" spans="1:18" ht="14.5" x14ac:dyDescent="0.35">
      <c r="A34" s="65">
        <v>4085</v>
      </c>
      <c r="B34" s="57" t="s">
        <v>46</v>
      </c>
      <c r="C34" s="51">
        <f>SUMIFS('Midnight Drawer'!H:H,'Midnight Drawer'!C:C,Summary!A34,'Midnight Drawer'!G:G,"5105")</f>
        <v>0</v>
      </c>
      <c r="D34" s="51">
        <f>SUMIFS('EFTs in MidN drawer'!E:E,'EFTs in MidN drawer'!A:A,Summary!A34,'EFTs in MidN drawer'!H:H,"After Midnight")</f>
        <v>0</v>
      </c>
      <c r="E34" s="51">
        <f>SUMIFS('EFTs in MidN drawer'!E:E,'EFTs in MidN drawer'!A:A,Summary!A34,'EFTs in MidN drawer'!H:H,"Before Bank Cut Off")</f>
        <v>0</v>
      </c>
      <c r="F34" s="112">
        <f>SUMIFS('EFTs in MidN drawer'!E:E,'EFTs in MidN drawer'!A:A,Summary!A34,'EFTs in MidN drawer'!H:H,"In Between")</f>
        <v>0</v>
      </c>
      <c r="G34" s="119">
        <f>SUMIF('Sales After Settlement Time'!A:A,Summary!A34,'Sales After Settlement Time'!C:C)</f>
        <v>0</v>
      </c>
      <c r="H34" s="52"/>
      <c r="I34" s="51">
        <f>IFERROR(VLOOKUP(B34,'5105 Opening'!A:B,2,FALSE),0)</f>
        <v>0</v>
      </c>
      <c r="J34" s="51">
        <f>IFERROR(VLOOKUP(B34,'5105'!A:B,2,FALSE),0)</f>
        <v>0</v>
      </c>
      <c r="K34" s="112">
        <f t="shared" si="10"/>
        <v>0</v>
      </c>
      <c r="L34" s="112">
        <f t="shared" si="11"/>
        <v>0</v>
      </c>
      <c r="M34" s="112">
        <f t="shared" si="12"/>
        <v>0</v>
      </c>
      <c r="N34" s="112">
        <f t="shared" si="13"/>
        <v>0</v>
      </c>
      <c r="O34" s="112">
        <f t="shared" si="14"/>
        <v>0</v>
      </c>
      <c r="P34" s="53">
        <f>G34-F34</f>
        <v>0</v>
      </c>
      <c r="Q34" s="45" t="str">
        <f>LEFT(B34,4)&amp;5105</f>
        <v>40855105</v>
      </c>
    </row>
    <row r="35" spans="1:18" ht="14.5" x14ac:dyDescent="0.35">
      <c r="A35" s="65">
        <v>4100</v>
      </c>
      <c r="B35" s="57" t="s">
        <v>47</v>
      </c>
      <c r="C35" s="51">
        <f>SUMIFS('Midnight Drawer'!H:H,'Midnight Drawer'!C:C,Summary!A35,'Midnight Drawer'!G:G,"5105")</f>
        <v>0</v>
      </c>
      <c r="D35" s="51">
        <f>SUMIFS('EFTs in MidN drawer'!E:E,'EFTs in MidN drawer'!A:A,Summary!A35,'EFTs in MidN drawer'!H:H,"After Midnight")</f>
        <v>0</v>
      </c>
      <c r="E35" s="51">
        <f>SUMIFS('EFTs in MidN drawer'!E:E,'EFTs in MidN drawer'!A:A,Summary!A35,'EFTs in MidN drawer'!H:H,"Before Bank Cut Off")</f>
        <v>0</v>
      </c>
      <c r="F35" s="112">
        <f>SUMIFS('EFTs in MidN drawer'!E:E,'EFTs in MidN drawer'!A:A,Summary!A35,'EFTs in MidN drawer'!H:H,"In Between")</f>
        <v>0</v>
      </c>
      <c r="G35" s="119">
        <f>SUMIF('Sales After Settlement Time'!A:A,Summary!A35,'Sales After Settlement Time'!C:C)</f>
        <v>0</v>
      </c>
      <c r="H35" s="52"/>
      <c r="I35" s="51">
        <f>IFERROR(VLOOKUP(B35,'5105 Opening'!A:B,2,FALSE),0)</f>
        <v>0</v>
      </c>
      <c r="J35" s="51">
        <f>IFERROR(VLOOKUP(B35,'5105'!A:B,2,FALSE),0)</f>
        <v>31.08</v>
      </c>
      <c r="K35" s="112">
        <f t="shared" si="10"/>
        <v>31.08</v>
      </c>
      <c r="L35" s="112">
        <f t="shared" si="11"/>
        <v>0</v>
      </c>
      <c r="M35" s="112">
        <f t="shared" si="12"/>
        <v>31.08</v>
      </c>
      <c r="N35" s="112">
        <f t="shared" si="13"/>
        <v>0</v>
      </c>
      <c r="O35" s="112">
        <f t="shared" si="14"/>
        <v>31.08</v>
      </c>
      <c r="P35" s="53">
        <f>G35-F35</f>
        <v>0</v>
      </c>
      <c r="Q35" s="45" t="str">
        <f>LEFT(B35,4)&amp;5105</f>
        <v>41005105</v>
      </c>
      <c r="R35" s="88" t="s">
        <v>245</v>
      </c>
    </row>
    <row r="36" spans="1:18" ht="26.25" customHeight="1" x14ac:dyDescent="0.35">
      <c r="A36" s="65">
        <v>4101</v>
      </c>
      <c r="B36" s="57" t="s">
        <v>127</v>
      </c>
      <c r="C36" s="51">
        <f>SUMIFS('Midnight Drawer'!H:H,'Midnight Drawer'!C:C,Summary!A36,'Midnight Drawer'!G:G,"5105")</f>
        <v>0</v>
      </c>
      <c r="D36" s="51">
        <f>SUMIFS('EFTs in MidN drawer'!E:E,'EFTs in MidN drawer'!A:A,Summary!A36,'EFTs in MidN drawer'!H:H,"After Midnight")</f>
        <v>0</v>
      </c>
      <c r="E36" s="51">
        <f>SUMIFS('EFTs in MidN drawer'!E:E,'EFTs in MidN drawer'!A:A,Summary!A36,'EFTs in MidN drawer'!H:H,"Before Bank Cut Off")</f>
        <v>0</v>
      </c>
      <c r="F36" s="112">
        <f>SUMIFS('EFTs in MidN drawer'!E:E,'EFTs in MidN drawer'!A:A,Summary!A36,'EFTs in MidN drawer'!H:H,"In Between")</f>
        <v>0</v>
      </c>
      <c r="G36" s="119">
        <f>SUMIF('Sales After Settlement Time'!A:A,Summary!A36,'Sales After Settlement Time'!C:C)</f>
        <v>0</v>
      </c>
      <c r="H36" s="52"/>
      <c r="I36" s="51">
        <f>IFERROR(VLOOKUP(B36,'5105 Opening'!A:B,2,FALSE),0)</f>
        <v>0</v>
      </c>
      <c r="J36" s="51">
        <f>IFERROR(VLOOKUP(B36,'5105'!A:B,2,FALSE),0)</f>
        <v>-119.11</v>
      </c>
      <c r="K36" s="112">
        <f t="shared" si="10"/>
        <v>-119.11</v>
      </c>
      <c r="L36" s="112">
        <f t="shared" si="11"/>
        <v>0</v>
      </c>
      <c r="M36" s="112">
        <f t="shared" si="12"/>
        <v>-119.11</v>
      </c>
      <c r="N36" s="112">
        <f t="shared" si="13"/>
        <v>0</v>
      </c>
      <c r="O36" s="112">
        <f t="shared" si="14"/>
        <v>-119.11</v>
      </c>
      <c r="P36" s="53"/>
      <c r="R36" s="88" t="s">
        <v>241</v>
      </c>
    </row>
    <row r="37" spans="1:18" ht="13.5" customHeight="1" x14ac:dyDescent="0.35">
      <c r="A37" s="65">
        <v>4102</v>
      </c>
      <c r="B37" s="57" t="s">
        <v>128</v>
      </c>
      <c r="C37" s="51">
        <f>SUMIFS('Midnight Drawer'!H:H,'Midnight Drawer'!C:C,Summary!A37,'Midnight Drawer'!G:G,"5105")</f>
        <v>0</v>
      </c>
      <c r="D37" s="51">
        <f>SUMIFS('EFTs in MidN drawer'!E:E,'EFTs in MidN drawer'!A:A,Summary!A37,'EFTs in MidN drawer'!H:H,"After Midnight")</f>
        <v>0</v>
      </c>
      <c r="E37" s="51">
        <f>SUMIFS('EFTs in MidN drawer'!E:E,'EFTs in MidN drawer'!A:A,Summary!A37,'EFTs in MidN drawer'!H:H,"Before Bank Cut Off")</f>
        <v>0</v>
      </c>
      <c r="F37" s="112">
        <f>SUMIFS('EFTs in MidN drawer'!E:E,'EFTs in MidN drawer'!A:A,Summary!A37,'EFTs in MidN drawer'!H:H,"In Between")</f>
        <v>0</v>
      </c>
      <c r="G37" s="119">
        <f>SUMIF('Sales After Settlement Time'!A:A,Summary!A37,'Sales After Settlement Time'!C:C)</f>
        <v>0</v>
      </c>
      <c r="H37" s="52"/>
      <c r="I37" s="51">
        <f>IFERROR(VLOOKUP(B37,'5105 Opening'!A:B,2,FALSE),0)</f>
        <v>0</v>
      </c>
      <c r="J37" s="51">
        <f>IFERROR(VLOOKUP(B37,'5105'!A:B,2,FALSE),0)</f>
        <v>-40.69</v>
      </c>
      <c r="K37" s="112">
        <f t="shared" si="10"/>
        <v>-40.69</v>
      </c>
      <c r="L37" s="112">
        <f t="shared" si="11"/>
        <v>0</v>
      </c>
      <c r="M37" s="112">
        <f t="shared" si="12"/>
        <v>-40.69</v>
      </c>
      <c r="N37" s="112">
        <f t="shared" si="13"/>
        <v>0</v>
      </c>
      <c r="O37" s="112">
        <f t="shared" si="14"/>
        <v>-40.69</v>
      </c>
      <c r="P37" s="53"/>
      <c r="R37" s="88" t="s">
        <v>244</v>
      </c>
    </row>
    <row r="38" spans="1:18" ht="14.5" x14ac:dyDescent="0.35">
      <c r="A38" s="65">
        <v>4103</v>
      </c>
      <c r="B38" s="57" t="s">
        <v>129</v>
      </c>
      <c r="C38" s="51">
        <f>SUMIFS('Midnight Drawer'!H:H,'Midnight Drawer'!C:C,Summary!A38,'Midnight Drawer'!G:G,"5105")</f>
        <v>0</v>
      </c>
      <c r="D38" s="51">
        <f>SUMIFS('EFTs in MidN drawer'!E:E,'EFTs in MidN drawer'!A:A,Summary!A38,'EFTs in MidN drawer'!H:H,"After Midnight")</f>
        <v>0</v>
      </c>
      <c r="E38" s="51">
        <f>SUMIFS('EFTs in MidN drawer'!E:E,'EFTs in MidN drawer'!A:A,Summary!A38,'EFTs in MidN drawer'!H:H,"Before Bank Cut Off")</f>
        <v>0</v>
      </c>
      <c r="F38" s="112">
        <f>SUMIFS('EFTs in MidN drawer'!E:E,'EFTs in MidN drawer'!A:A,Summary!A38,'EFTs in MidN drawer'!H:H,"In Between")</f>
        <v>0</v>
      </c>
      <c r="G38" s="119">
        <f>SUMIF('Sales After Settlement Time'!A:A,Summary!A38,'Sales After Settlement Time'!C:C)</f>
        <v>0</v>
      </c>
      <c r="H38" s="52"/>
      <c r="I38" s="51">
        <f>IFERROR(VLOOKUP(B38,'5105 Opening'!A:B,2,FALSE),0)</f>
        <v>0</v>
      </c>
      <c r="J38" s="51">
        <f>IFERROR(VLOOKUP(B38,'5105'!A:B,2,FALSE),0)</f>
        <v>0</v>
      </c>
      <c r="K38" s="112">
        <f t="shared" si="10"/>
        <v>0</v>
      </c>
      <c r="L38" s="112">
        <f t="shared" si="11"/>
        <v>0</v>
      </c>
      <c r="M38" s="112">
        <f t="shared" si="12"/>
        <v>0</v>
      </c>
      <c r="N38" s="112">
        <f t="shared" si="13"/>
        <v>0</v>
      </c>
      <c r="O38" s="112">
        <f t="shared" si="14"/>
        <v>0</v>
      </c>
      <c r="P38" s="53"/>
      <c r="R38" s="88"/>
    </row>
    <row r="39" spans="1:18" ht="13.5" customHeight="1" x14ac:dyDescent="0.35">
      <c r="A39" s="65">
        <v>4104</v>
      </c>
      <c r="B39" s="78" t="s">
        <v>130</v>
      </c>
      <c r="C39" s="51">
        <f>SUMIFS('Midnight Drawer'!H:H,'Midnight Drawer'!C:C,Summary!A39,'Midnight Drawer'!G:G,"5105")</f>
        <v>0</v>
      </c>
      <c r="D39" s="51">
        <f>SUMIFS('EFTs in MidN drawer'!E:E,'EFTs in MidN drawer'!A:A,Summary!A39,'EFTs in MidN drawer'!H:H,"After Midnight")</f>
        <v>0</v>
      </c>
      <c r="E39" s="51">
        <f>SUMIFS('EFTs in MidN drawer'!E:E,'EFTs in MidN drawer'!A:A,Summary!A39,'EFTs in MidN drawer'!H:H,"Before Bank Cut Off")</f>
        <v>0</v>
      </c>
      <c r="F39" s="112">
        <f>SUMIFS('EFTs in MidN drawer'!E:E,'EFTs in MidN drawer'!A:A,Summary!A39,'EFTs in MidN drawer'!H:H,"In Between")</f>
        <v>0</v>
      </c>
      <c r="G39" s="119">
        <f>SUMIF('Sales After Settlement Time'!A:A,Summary!A39,'Sales After Settlement Time'!C:C)</f>
        <v>0</v>
      </c>
      <c r="H39" s="52"/>
      <c r="I39" s="51">
        <f>IFERROR(VLOOKUP(B39,'5105 Opening'!A:B,2,FALSE),0)</f>
        <v>0</v>
      </c>
      <c r="J39" s="51">
        <f>IFERROR(VLOOKUP(B39,'5105'!A:B,2,FALSE),0)</f>
        <v>0</v>
      </c>
      <c r="K39" s="112">
        <f t="shared" ref="K39" si="27">I39+J39</f>
        <v>0</v>
      </c>
      <c r="L39" s="112">
        <f t="shared" ref="L39" si="28">C39-D39</f>
        <v>0</v>
      </c>
      <c r="M39" s="112">
        <f t="shared" ref="M39" si="29">K39+L39</f>
        <v>0</v>
      </c>
      <c r="N39" s="112">
        <f t="shared" ref="N39" si="30">G39</f>
        <v>0</v>
      </c>
      <c r="O39" s="112">
        <f t="shared" ref="O39" si="31">M39-N39</f>
        <v>0</v>
      </c>
      <c r="P39" s="53"/>
    </row>
    <row r="40" spans="1:18" ht="13.5" customHeight="1" x14ac:dyDescent="0.35">
      <c r="A40" s="65">
        <v>4106</v>
      </c>
      <c r="B40" s="78" t="s">
        <v>131</v>
      </c>
      <c r="C40" s="51">
        <f>SUMIFS('Midnight Drawer'!H:H,'Midnight Drawer'!C:C,Summary!A40,'Midnight Drawer'!G:G,"5105")</f>
        <v>0</v>
      </c>
      <c r="D40" s="51">
        <f>SUMIFS('EFTs in MidN drawer'!E:E,'EFTs in MidN drawer'!A:A,Summary!A40,'EFTs in MidN drawer'!H:H,"After Midnight")</f>
        <v>0</v>
      </c>
      <c r="E40" s="51">
        <f>SUMIFS('EFTs in MidN drawer'!E:E,'EFTs in MidN drawer'!A:A,Summary!A40,'EFTs in MidN drawer'!H:H,"Before Bank Cut Off")</f>
        <v>0</v>
      </c>
      <c r="F40" s="112">
        <f>SUMIFS('EFTs in MidN drawer'!E:E,'EFTs in MidN drawer'!A:A,Summary!A40,'EFTs in MidN drawer'!H:H,"In Between")</f>
        <v>0</v>
      </c>
      <c r="G40" s="119">
        <f>SUMIF('Sales After Settlement Time'!A:A,Summary!A40,'Sales After Settlement Time'!C:C)</f>
        <v>222.22</v>
      </c>
      <c r="H40" s="52"/>
      <c r="I40" s="51">
        <f>IFERROR(VLOOKUP(B40,'5105 Opening'!A:B,2,FALSE),0)</f>
        <v>0</v>
      </c>
      <c r="J40" s="51">
        <f>IFERROR(VLOOKUP(B40,'5105'!A:B,2,FALSE),0)</f>
        <v>222.22000000000008</v>
      </c>
      <c r="K40" s="112">
        <f t="shared" ref="K40" si="32">I40+J40</f>
        <v>222.22000000000008</v>
      </c>
      <c r="L40" s="112">
        <f t="shared" ref="L40" si="33">C40-D40</f>
        <v>0</v>
      </c>
      <c r="M40" s="112">
        <f t="shared" ref="M40" si="34">K40+L40</f>
        <v>222.22000000000008</v>
      </c>
      <c r="N40" s="112">
        <f t="shared" ref="N40" si="35">G40</f>
        <v>222.22</v>
      </c>
      <c r="O40" s="112">
        <f t="shared" ref="O40" si="36">M40-N40</f>
        <v>0</v>
      </c>
      <c r="P40" s="53"/>
    </row>
    <row r="41" spans="1:18" ht="13.5" customHeight="1" x14ac:dyDescent="0.35">
      <c r="A41" s="65">
        <v>4107</v>
      </c>
      <c r="B41" s="86" t="s">
        <v>137</v>
      </c>
      <c r="C41" s="51">
        <f>SUMIFS('Midnight Drawer'!H:H,'Midnight Drawer'!C:C,Summary!A41,'Midnight Drawer'!G:G,"5105")</f>
        <v>0</v>
      </c>
      <c r="D41" s="51">
        <f>SUMIFS('EFTs in MidN drawer'!E:E,'EFTs in MidN drawer'!A:A,Summary!A41,'EFTs in MidN drawer'!H:H,"After Midnight")</f>
        <v>0</v>
      </c>
      <c r="E41" s="51">
        <f>SUMIFS('EFTs in MidN drawer'!E:E,'EFTs in MidN drawer'!A:A,Summary!A41,'EFTs in MidN drawer'!H:H,"Before Bank Cut Off")</f>
        <v>0</v>
      </c>
      <c r="F41" s="112">
        <f>SUMIFS('EFTs in MidN drawer'!E:E,'EFTs in MidN drawer'!A:A,Summary!A41,'EFTs in MidN drawer'!H:H,"In Between")</f>
        <v>0</v>
      </c>
      <c r="G41" s="119">
        <f>SUMIF('Sales After Settlement Time'!A:A,Summary!A41,'Sales After Settlement Time'!C:C)</f>
        <v>0</v>
      </c>
      <c r="H41" s="52"/>
      <c r="I41" s="51">
        <f>IFERROR(VLOOKUP(B41,'5105 Opening'!A:B,2,FALSE),0)</f>
        <v>0</v>
      </c>
      <c r="J41" s="51">
        <f>IFERROR(VLOOKUP(B41,'5105'!A:B,2,FALSE),0)</f>
        <v>-70.989999999999995</v>
      </c>
      <c r="K41" s="112">
        <f t="shared" ref="K41:K42" si="37">I41+J41</f>
        <v>-70.989999999999995</v>
      </c>
      <c r="L41" s="112">
        <f t="shared" ref="L41:L42" si="38">C41-D41</f>
        <v>0</v>
      </c>
      <c r="M41" s="112">
        <f t="shared" ref="M41:M42" si="39">K41+L41</f>
        <v>-70.989999999999995</v>
      </c>
      <c r="N41" s="112">
        <f t="shared" ref="N41:N42" si="40">G41</f>
        <v>0</v>
      </c>
      <c r="O41" s="112">
        <f t="shared" ref="O41:O42" si="41">M41-N41</f>
        <v>-70.989999999999995</v>
      </c>
      <c r="P41" s="53"/>
      <c r="R41" s="88" t="s">
        <v>243</v>
      </c>
    </row>
    <row r="42" spans="1:18" ht="13.5" customHeight="1" x14ac:dyDescent="0.35">
      <c r="A42" s="65">
        <v>4108</v>
      </c>
      <c r="B42" s="86" t="s">
        <v>139</v>
      </c>
      <c r="C42" s="51">
        <f>SUMIFS('Midnight Drawer'!H:H,'Midnight Drawer'!C:C,Summary!A42,'Midnight Drawer'!G:G,"5105")</f>
        <v>0</v>
      </c>
      <c r="D42" s="51">
        <f>SUMIFS('EFTs in MidN drawer'!E:E,'EFTs in MidN drawer'!A:A,Summary!A42,'EFTs in MidN drawer'!H:H,"After Midnight")</f>
        <v>0</v>
      </c>
      <c r="E42" s="51">
        <f>SUMIFS('EFTs in MidN drawer'!E:E,'EFTs in MidN drawer'!A:A,Summary!A42,'EFTs in MidN drawer'!H:H,"Before Bank Cut Off")</f>
        <v>0</v>
      </c>
      <c r="F42" s="112">
        <f>SUMIFS('EFTs in MidN drawer'!E:E,'EFTs in MidN drawer'!A:A,Summary!A42,'EFTs in MidN drawer'!H:H,"In Between")</f>
        <v>0</v>
      </c>
      <c r="G42" s="119">
        <f>SUMIF('Sales After Settlement Time'!A:A,Summary!A42,'Sales After Settlement Time'!C:C)</f>
        <v>0</v>
      </c>
      <c r="H42" s="52"/>
      <c r="I42" s="51">
        <f>IFERROR(VLOOKUP(B42,'5105 Opening'!A:B,2,FALSE),0)</f>
        <v>0</v>
      </c>
      <c r="J42" s="51">
        <f>IFERROR(VLOOKUP(B42,'5105'!A:B,2,FALSE),0)</f>
        <v>0</v>
      </c>
      <c r="K42" s="112">
        <f t="shared" si="37"/>
        <v>0</v>
      </c>
      <c r="L42" s="112">
        <f t="shared" si="38"/>
        <v>0</v>
      </c>
      <c r="M42" s="112">
        <f t="shared" si="39"/>
        <v>0</v>
      </c>
      <c r="N42" s="112">
        <f t="shared" si="40"/>
        <v>0</v>
      </c>
      <c r="O42" s="112">
        <f t="shared" si="41"/>
        <v>0</v>
      </c>
      <c r="P42" s="53"/>
    </row>
    <row r="43" spans="1:18" ht="13.5" customHeight="1" x14ac:dyDescent="0.35">
      <c r="A43" s="65">
        <v>4109</v>
      </c>
      <c r="B43" s="82" t="s">
        <v>132</v>
      </c>
      <c r="C43" s="51">
        <f>SUMIFS('Midnight Drawer'!H:H,'Midnight Drawer'!C:C,Summary!A43,'Midnight Drawer'!G:G,"5105")</f>
        <v>0</v>
      </c>
      <c r="D43" s="51">
        <f>SUMIFS('EFTs in MidN drawer'!E:E,'EFTs in MidN drawer'!A:A,Summary!A43,'EFTs in MidN drawer'!H:H,"After Midnight")</f>
        <v>0</v>
      </c>
      <c r="E43" s="51">
        <f>SUMIFS('EFTs in MidN drawer'!E:E,'EFTs in MidN drawer'!A:A,Summary!A43,'EFTs in MidN drawer'!H:H,"Before Bank Cut Off")</f>
        <v>0</v>
      </c>
      <c r="F43" s="112">
        <f>SUMIFS('EFTs in MidN drawer'!E:E,'EFTs in MidN drawer'!A:A,Summary!A43,'EFTs in MidN drawer'!H:H,"In Between")</f>
        <v>0</v>
      </c>
      <c r="G43" s="119">
        <f>SUMIF('Sales After Settlement Time'!A:A,Summary!A43,'Sales After Settlement Time'!C:C)</f>
        <v>0</v>
      </c>
      <c r="H43" s="52"/>
      <c r="I43" s="51">
        <f>IFERROR(VLOOKUP(B43,'5105 Opening'!A:B,2,FALSE),0)</f>
        <v>0</v>
      </c>
      <c r="J43" s="51">
        <f>IFERROR(VLOOKUP(B43,'5105'!A:B,2,FALSE),0)</f>
        <v>0</v>
      </c>
      <c r="K43" s="112">
        <f t="shared" ref="K43" si="42">I43+J43</f>
        <v>0</v>
      </c>
      <c r="L43" s="112">
        <f t="shared" ref="L43" si="43">C43-D43</f>
        <v>0</v>
      </c>
      <c r="M43" s="112">
        <f t="shared" ref="M43" si="44">K43+L43</f>
        <v>0</v>
      </c>
      <c r="N43" s="112">
        <f t="shared" ref="N43" si="45">G43</f>
        <v>0</v>
      </c>
      <c r="O43" s="112">
        <f t="shared" ref="O43" si="46">M43-N43</f>
        <v>0</v>
      </c>
      <c r="P43" s="53"/>
    </row>
    <row r="44" spans="1:18" ht="13.5" customHeight="1" x14ac:dyDescent="0.35">
      <c r="A44" s="65">
        <v>4110</v>
      </c>
      <c r="B44" s="82" t="s">
        <v>134</v>
      </c>
      <c r="C44" s="51">
        <f>SUMIFS('Midnight Drawer'!H:H,'Midnight Drawer'!C:C,Summary!A44,'Midnight Drawer'!G:G,"5105")</f>
        <v>0</v>
      </c>
      <c r="D44" s="51">
        <f>SUMIFS('EFTs in MidN drawer'!E:E,'EFTs in MidN drawer'!A:A,Summary!A44,'EFTs in MidN drawer'!H:H,"After Midnight")</f>
        <v>0</v>
      </c>
      <c r="E44" s="51">
        <f>SUMIFS('EFTs in MidN drawer'!E:E,'EFTs in MidN drawer'!A:A,Summary!A44,'EFTs in MidN drawer'!H:H,"Before Bank Cut Off")</f>
        <v>0</v>
      </c>
      <c r="F44" s="112">
        <f>SUMIFS('EFTs in MidN drawer'!E:E,'EFTs in MidN drawer'!A:A,Summary!A44,'EFTs in MidN drawer'!H:H,"In Between")</f>
        <v>0</v>
      </c>
      <c r="G44" s="119">
        <f>SUMIF('Sales After Settlement Time'!A:A,Summary!A44,'Sales After Settlement Time'!C:C)</f>
        <v>0</v>
      </c>
      <c r="H44" s="52"/>
      <c r="I44" s="51">
        <f>IFERROR(VLOOKUP(B44,'5105 Opening'!A:B,2,FALSE),0)</f>
        <v>0</v>
      </c>
      <c r="J44" s="51">
        <f>IFERROR(VLOOKUP(B44,'5105'!A:B,2,FALSE),0)</f>
        <v>0</v>
      </c>
      <c r="K44" s="112">
        <f t="shared" ref="K44" si="47">I44+J44</f>
        <v>0</v>
      </c>
      <c r="L44" s="112">
        <f t="shared" ref="L44" si="48">C44-D44</f>
        <v>0</v>
      </c>
      <c r="M44" s="112">
        <f t="shared" ref="M44" si="49">K44+L44</f>
        <v>0</v>
      </c>
      <c r="N44" s="112">
        <f t="shared" ref="N44" si="50">G44</f>
        <v>0</v>
      </c>
      <c r="O44" s="112">
        <f t="shared" ref="O44" si="51">M44-N44</f>
        <v>0</v>
      </c>
      <c r="P44" s="53"/>
    </row>
    <row r="45" spans="1:18" ht="14.5" x14ac:dyDescent="0.35">
      <c r="A45" s="65">
        <v>4115</v>
      </c>
      <c r="B45" s="57" t="s">
        <v>48</v>
      </c>
      <c r="C45" s="51">
        <f>SUMIFS('Midnight Drawer'!H:H,'Midnight Drawer'!C:C,Summary!A45,'Midnight Drawer'!G:G,"5105")</f>
        <v>0</v>
      </c>
      <c r="D45" s="51">
        <f>SUMIFS('EFTs in MidN drawer'!E:E,'EFTs in MidN drawer'!A:A,Summary!A45,'EFTs in MidN drawer'!H:H,"After Midnight")</f>
        <v>0</v>
      </c>
      <c r="E45" s="51">
        <f>SUMIFS('EFTs in MidN drawer'!E:E,'EFTs in MidN drawer'!A:A,Summary!A45,'EFTs in MidN drawer'!H:H,"Before Bank Cut Off")</f>
        <v>0</v>
      </c>
      <c r="F45" s="112">
        <f>SUMIFS('EFTs in MidN drawer'!E:E,'EFTs in MidN drawer'!A:A,Summary!A45,'EFTs in MidN drawer'!H:H,"In Between")</f>
        <v>0</v>
      </c>
      <c r="G45" s="119">
        <f>SUMIF('Sales After Settlement Time'!A:A,Summary!A45,'Sales After Settlement Time'!C:C)</f>
        <v>0</v>
      </c>
      <c r="H45" s="52"/>
      <c r="I45" s="51">
        <f>IFERROR(VLOOKUP(B45,'5105 Opening'!A:B,2,FALSE),0)</f>
        <v>0</v>
      </c>
      <c r="J45" s="51">
        <f>IFERROR(VLOOKUP(B45,'5105'!A:B,2,FALSE),0)</f>
        <v>0</v>
      </c>
      <c r="K45" s="112">
        <f t="shared" si="10"/>
        <v>0</v>
      </c>
      <c r="L45" s="112">
        <f t="shared" si="11"/>
        <v>0</v>
      </c>
      <c r="M45" s="112">
        <f t="shared" si="12"/>
        <v>0</v>
      </c>
      <c r="N45" s="112">
        <f t="shared" si="13"/>
        <v>0</v>
      </c>
      <c r="O45" s="112">
        <f t="shared" si="14"/>
        <v>0</v>
      </c>
      <c r="P45" s="53">
        <f>G45-F45</f>
        <v>0</v>
      </c>
      <c r="Q45" s="45" t="str">
        <f>LEFT(B45,4)&amp;5105</f>
        <v>41155105</v>
      </c>
    </row>
    <row r="46" spans="1:18" ht="14.5" x14ac:dyDescent="0.35">
      <c r="A46" s="65">
        <v>4122</v>
      </c>
      <c r="B46" s="74" t="s">
        <v>117</v>
      </c>
      <c r="C46" s="51">
        <f>SUMIFS('Midnight Drawer'!H:H,'Midnight Drawer'!C:C,Summary!A46,'Midnight Drawer'!G:G,"5105")</f>
        <v>0</v>
      </c>
      <c r="D46" s="51">
        <f>SUMIFS('EFTs in MidN drawer'!E:E,'EFTs in MidN drawer'!A:A,Summary!A46,'EFTs in MidN drawer'!H:H,"After Midnight")</f>
        <v>0</v>
      </c>
      <c r="E46" s="51">
        <f>SUMIFS('EFTs in MidN drawer'!E:E,'EFTs in MidN drawer'!A:A,Summary!A46,'EFTs in MidN drawer'!H:H,"Before Bank Cut Off")</f>
        <v>0</v>
      </c>
      <c r="F46" s="112">
        <f>SUMIFS('EFTs in MidN drawer'!E:E,'EFTs in MidN drawer'!A:A,Summary!A46,'EFTs in MidN drawer'!H:H,"In Between")</f>
        <v>0</v>
      </c>
      <c r="G46" s="119">
        <f>SUMIF('Sales After Settlement Time'!A:A,Summary!A46,'Sales After Settlement Time'!C:C)</f>
        <v>0</v>
      </c>
      <c r="H46" s="52"/>
      <c r="I46" s="51">
        <f>IFERROR(VLOOKUP(B46,'5105 Opening'!A:B,2,FALSE),0)</f>
        <v>0</v>
      </c>
      <c r="J46" s="51">
        <f>IFERROR(VLOOKUP(B46,'5105'!A:B,2,FALSE),0)</f>
        <v>0</v>
      </c>
      <c r="K46" s="112">
        <f t="shared" si="10"/>
        <v>0</v>
      </c>
      <c r="L46" s="112">
        <f t="shared" si="11"/>
        <v>0</v>
      </c>
      <c r="M46" s="112">
        <f t="shared" si="12"/>
        <v>0</v>
      </c>
      <c r="N46" s="112">
        <f t="shared" si="13"/>
        <v>0</v>
      </c>
      <c r="O46" s="112">
        <f t="shared" si="14"/>
        <v>0</v>
      </c>
      <c r="P46" s="53"/>
    </row>
    <row r="47" spans="1:18" ht="14.5" x14ac:dyDescent="0.35">
      <c r="A47" s="65">
        <v>4145</v>
      </c>
      <c r="B47" s="57" t="s">
        <v>49</v>
      </c>
      <c r="C47" s="51">
        <f>SUMIFS('Midnight Drawer'!H:H,'Midnight Drawer'!C:C,Summary!A47,'Midnight Drawer'!G:G,"5105")</f>
        <v>0</v>
      </c>
      <c r="D47" s="51">
        <f>SUMIFS('EFTs in MidN drawer'!E:E,'EFTs in MidN drawer'!A:A,Summary!A47,'EFTs in MidN drawer'!H:H,"After Midnight")</f>
        <v>0</v>
      </c>
      <c r="E47" s="51">
        <f>SUMIFS('EFTs in MidN drawer'!E:E,'EFTs in MidN drawer'!A:A,Summary!A47,'EFTs in MidN drawer'!H:H,"Before Bank Cut Off")</f>
        <v>0</v>
      </c>
      <c r="F47" s="112">
        <f>SUMIFS('EFTs in MidN drawer'!E:E,'EFTs in MidN drawer'!A:A,Summary!A47,'EFTs in MidN drawer'!H:H,"In Between")</f>
        <v>0</v>
      </c>
      <c r="G47" s="119">
        <f>SUMIF('Sales After Settlement Time'!A:A,Summary!A47,'Sales After Settlement Time'!C:C)</f>
        <v>0</v>
      </c>
      <c r="H47" s="52"/>
      <c r="I47" s="51">
        <f>IFERROR(VLOOKUP(B47,'5105 Opening'!A:B,2,FALSE),0)</f>
        <v>0</v>
      </c>
      <c r="J47" s="51">
        <f>IFERROR(VLOOKUP(B47,'5105'!A:B,2,FALSE),0)</f>
        <v>0</v>
      </c>
      <c r="K47" s="112">
        <f t="shared" si="10"/>
        <v>0</v>
      </c>
      <c r="L47" s="112">
        <f t="shared" si="11"/>
        <v>0</v>
      </c>
      <c r="M47" s="112">
        <f t="shared" si="12"/>
        <v>0</v>
      </c>
      <c r="N47" s="112">
        <f t="shared" si="13"/>
        <v>0</v>
      </c>
      <c r="O47" s="112">
        <f t="shared" si="14"/>
        <v>0</v>
      </c>
      <c r="P47" s="53">
        <f>G47-F47</f>
        <v>0</v>
      </c>
      <c r="Q47" s="45" t="str">
        <f>LEFT(B47,4)&amp;5105</f>
        <v>41455105</v>
      </c>
    </row>
    <row r="48" spans="1:18" ht="14.5" x14ac:dyDescent="0.35">
      <c r="A48" s="65">
        <v>4149</v>
      </c>
      <c r="B48" s="57" t="s">
        <v>50</v>
      </c>
      <c r="C48" s="51">
        <f>SUMIFS('Midnight Drawer'!H:H,'Midnight Drawer'!C:C,Summary!A48,'Midnight Drawer'!G:G,"5105")</f>
        <v>0</v>
      </c>
      <c r="D48" s="51">
        <f>SUMIFS('EFTs in MidN drawer'!E:E,'EFTs in MidN drawer'!A:A,Summary!A48,'EFTs in MidN drawer'!H:H,"After Midnight")</f>
        <v>0</v>
      </c>
      <c r="E48" s="51">
        <f>SUMIFS('EFTs in MidN drawer'!E:E,'EFTs in MidN drawer'!A:A,Summary!A48,'EFTs in MidN drawer'!H:H,"Before Bank Cut Off")</f>
        <v>0</v>
      </c>
      <c r="F48" s="112">
        <f>SUMIFS('EFTs in MidN drawer'!E:E,'EFTs in MidN drawer'!A:A,Summary!A48,'EFTs in MidN drawer'!H:H,"In Between")</f>
        <v>0</v>
      </c>
      <c r="G48" s="119">
        <f>SUMIF('Sales After Settlement Time'!A:A,Summary!A48,'Sales After Settlement Time'!C:C)</f>
        <v>0</v>
      </c>
      <c r="H48" s="52"/>
      <c r="I48" s="51">
        <f>IFERROR(VLOOKUP(B48,'5105 Opening'!A:B,2,FALSE),0)</f>
        <v>0</v>
      </c>
      <c r="J48" s="51">
        <f>IFERROR(VLOOKUP(B48,'5105'!A:B,2,FALSE),0)</f>
        <v>0</v>
      </c>
      <c r="K48" s="112">
        <f t="shared" si="10"/>
        <v>0</v>
      </c>
      <c r="L48" s="112">
        <f t="shared" si="11"/>
        <v>0</v>
      </c>
      <c r="M48" s="112">
        <f t="shared" si="12"/>
        <v>0</v>
      </c>
      <c r="N48" s="112">
        <f t="shared" si="13"/>
        <v>0</v>
      </c>
      <c r="O48" s="112">
        <f t="shared" si="14"/>
        <v>0</v>
      </c>
      <c r="P48" s="53">
        <f>G48-F48</f>
        <v>0</v>
      </c>
      <c r="Q48" s="45" t="str">
        <f>LEFT(B48,4)&amp;5105</f>
        <v>41495105</v>
      </c>
    </row>
    <row r="49" spans="1:18" ht="14.5" x14ac:dyDescent="0.35">
      <c r="A49" s="65">
        <v>4155</v>
      </c>
      <c r="B49" s="57" t="s">
        <v>51</v>
      </c>
      <c r="C49" s="51">
        <f>SUMIFS('Midnight Drawer'!H:H,'Midnight Drawer'!C:C,Summary!A49,'Midnight Drawer'!G:G,"5105")</f>
        <v>0</v>
      </c>
      <c r="D49" s="51">
        <f>SUMIFS('EFTs in MidN drawer'!E:E,'EFTs in MidN drawer'!A:A,Summary!A49,'EFTs in MidN drawer'!H:H,"After Midnight")</f>
        <v>0</v>
      </c>
      <c r="E49" s="51">
        <f>SUMIFS('EFTs in MidN drawer'!E:E,'EFTs in MidN drawer'!A:A,Summary!A49,'EFTs in MidN drawer'!H:H,"Before Bank Cut Off")</f>
        <v>0</v>
      </c>
      <c r="F49" s="112">
        <f>SUMIFS('EFTs in MidN drawer'!E:E,'EFTs in MidN drawer'!A:A,Summary!A49,'EFTs in MidN drawer'!H:H,"In Between")</f>
        <v>0</v>
      </c>
      <c r="G49" s="119">
        <f>SUMIF('Sales After Settlement Time'!A:A,Summary!A49,'Sales After Settlement Time'!C:C)</f>
        <v>0</v>
      </c>
      <c r="H49" s="52"/>
      <c r="I49" s="51">
        <f>IFERROR(VLOOKUP(B49,'5105 Opening'!A:B,2,FALSE),0)</f>
        <v>0</v>
      </c>
      <c r="J49" s="51">
        <f>IFERROR(VLOOKUP(B49,'5105'!A:B,2,FALSE),0)</f>
        <v>0</v>
      </c>
      <c r="K49" s="112">
        <f t="shared" si="10"/>
        <v>0</v>
      </c>
      <c r="L49" s="112">
        <f t="shared" si="11"/>
        <v>0</v>
      </c>
      <c r="M49" s="112">
        <f t="shared" si="12"/>
        <v>0</v>
      </c>
      <c r="N49" s="112">
        <f t="shared" si="13"/>
        <v>0</v>
      </c>
      <c r="O49" s="112">
        <f t="shared" si="14"/>
        <v>0</v>
      </c>
      <c r="P49" s="53">
        <f>G49-F49</f>
        <v>0</v>
      </c>
      <c r="Q49" s="45" t="str">
        <f>LEFT(B49,4)&amp;5105</f>
        <v>41555105</v>
      </c>
    </row>
    <row r="50" spans="1:18" ht="14.5" x14ac:dyDescent="0.35">
      <c r="A50" s="65">
        <v>4157</v>
      </c>
      <c r="B50" s="57" t="s">
        <v>52</v>
      </c>
      <c r="C50" s="51">
        <f>SUMIFS('Midnight Drawer'!H:H,'Midnight Drawer'!C:C,Summary!A50,'Midnight Drawer'!G:G,"5105")</f>
        <v>0</v>
      </c>
      <c r="D50" s="51">
        <f>SUMIFS('EFTs in MidN drawer'!E:E,'EFTs in MidN drawer'!A:A,Summary!A50,'EFTs in MidN drawer'!H:H,"After Midnight")</f>
        <v>0</v>
      </c>
      <c r="E50" s="51">
        <f>SUMIFS('EFTs in MidN drawer'!E:E,'EFTs in MidN drawer'!A:A,Summary!A50,'EFTs in MidN drawer'!H:H,"Before Bank Cut Off")</f>
        <v>0</v>
      </c>
      <c r="F50" s="112">
        <f>SUMIFS('EFTs in MidN drawer'!E:E,'EFTs in MidN drawer'!A:A,Summary!A50,'EFTs in MidN drawer'!H:H,"In Between")</f>
        <v>0</v>
      </c>
      <c r="G50" s="119">
        <f>SUMIF('Sales After Settlement Time'!A:A,Summary!A50,'Sales After Settlement Time'!C:C)</f>
        <v>0</v>
      </c>
      <c r="H50" s="52"/>
      <c r="I50" s="51">
        <f>IFERROR(VLOOKUP(B50,'5105 Opening'!A:B,2,FALSE),0)</f>
        <v>0</v>
      </c>
      <c r="J50" s="51">
        <f>IFERROR(VLOOKUP(B50,'5105'!A:B,2,FALSE),0)</f>
        <v>0</v>
      </c>
      <c r="K50" s="112">
        <f t="shared" si="10"/>
        <v>0</v>
      </c>
      <c r="L50" s="112">
        <f t="shared" si="11"/>
        <v>0</v>
      </c>
      <c r="M50" s="112">
        <f t="shared" si="12"/>
        <v>0</v>
      </c>
      <c r="N50" s="112">
        <f t="shared" si="13"/>
        <v>0</v>
      </c>
      <c r="O50" s="112">
        <f t="shared" si="14"/>
        <v>0</v>
      </c>
      <c r="P50" s="53">
        <f>G50-F50</f>
        <v>0</v>
      </c>
      <c r="Q50" s="45" t="str">
        <f>LEFT(B50,4)&amp;5105</f>
        <v>41575105</v>
      </c>
    </row>
    <row r="51" spans="1:18" ht="14.5" x14ac:dyDescent="0.35">
      <c r="A51" s="65">
        <v>4170</v>
      </c>
      <c r="B51" s="57" t="s">
        <v>53</v>
      </c>
      <c r="C51" s="51">
        <f>SUMIFS('Midnight Drawer'!H:H,'Midnight Drawer'!C:C,Summary!A51,'Midnight Drawer'!G:G,"5105")</f>
        <v>0</v>
      </c>
      <c r="D51" s="51">
        <f>SUMIFS('EFTs in MidN drawer'!E:E,'EFTs in MidN drawer'!A:A,Summary!A51,'EFTs in MidN drawer'!H:H,"After Midnight")</f>
        <v>0</v>
      </c>
      <c r="E51" s="51">
        <f>SUMIFS('EFTs in MidN drawer'!E:E,'EFTs in MidN drawer'!A:A,Summary!A51,'EFTs in MidN drawer'!H:H,"Before Bank Cut Off")</f>
        <v>0</v>
      </c>
      <c r="F51" s="112">
        <f>SUMIFS('EFTs in MidN drawer'!E:E,'EFTs in MidN drawer'!A:A,Summary!A51,'EFTs in MidN drawer'!H:H,"In Between")</f>
        <v>0</v>
      </c>
      <c r="G51" s="119">
        <f>SUMIF('Sales After Settlement Time'!A:A,Summary!A51,'Sales After Settlement Time'!C:C)</f>
        <v>0</v>
      </c>
      <c r="H51" s="52"/>
      <c r="I51" s="51">
        <f>IFERROR(VLOOKUP(B51,'5105 Opening'!A:B,2,FALSE),0)</f>
        <v>0</v>
      </c>
      <c r="J51" s="51">
        <f>IFERROR(VLOOKUP(B51,'5105'!A:B,2,FALSE),0)</f>
        <v>0</v>
      </c>
      <c r="K51" s="112">
        <f t="shared" si="10"/>
        <v>0</v>
      </c>
      <c r="L51" s="112">
        <f t="shared" si="11"/>
        <v>0</v>
      </c>
      <c r="M51" s="112">
        <f t="shared" si="12"/>
        <v>0</v>
      </c>
      <c r="N51" s="112">
        <f t="shared" si="13"/>
        <v>0</v>
      </c>
      <c r="O51" s="112">
        <f t="shared" si="14"/>
        <v>0</v>
      </c>
      <c r="P51" s="53">
        <f>G51-F51</f>
        <v>0</v>
      </c>
      <c r="Q51" s="45" t="str">
        <f>LEFT(B51,4)&amp;5105</f>
        <v>41705105</v>
      </c>
    </row>
    <row r="52" spans="1:18" ht="14.5" x14ac:dyDescent="0.35">
      <c r="A52" s="65">
        <v>4200</v>
      </c>
      <c r="B52" s="57" t="s">
        <v>118</v>
      </c>
      <c r="C52" s="51">
        <f>SUMIFS('Midnight Drawer'!H:H,'Midnight Drawer'!C:C,Summary!A52,'Midnight Drawer'!G:G,"5105")</f>
        <v>0</v>
      </c>
      <c r="D52" s="51">
        <f>SUMIFS('EFTs in MidN drawer'!E:E,'EFTs in MidN drawer'!A:A,Summary!A52,'EFTs in MidN drawer'!H:H,"After Midnight")</f>
        <v>0</v>
      </c>
      <c r="E52" s="51">
        <f>SUMIFS('EFTs in MidN drawer'!E:E,'EFTs in MidN drawer'!A:A,Summary!A52,'EFTs in MidN drawer'!H:H,"Before Bank Cut Off")</f>
        <v>0</v>
      </c>
      <c r="F52" s="112">
        <f>SUMIFS('EFTs in MidN drawer'!E:E,'EFTs in MidN drawer'!A:A,Summary!A52,'EFTs in MidN drawer'!H:H,"In Between")</f>
        <v>0</v>
      </c>
      <c r="G52" s="119">
        <f>SUMIF('Sales After Settlement Time'!A:A,Summary!A52,'Sales After Settlement Time'!C:C)</f>
        <v>0</v>
      </c>
      <c r="H52" s="52"/>
      <c r="I52" s="51">
        <f>IFERROR(VLOOKUP(B52,'5105 Opening'!A:B,2,FALSE),0)</f>
        <v>0</v>
      </c>
      <c r="J52" s="51">
        <f>IFERROR(VLOOKUP(B52,'5105'!A:B,2,FALSE),0)</f>
        <v>0</v>
      </c>
      <c r="K52" s="112">
        <f t="shared" si="10"/>
        <v>0</v>
      </c>
      <c r="L52" s="112">
        <f t="shared" si="11"/>
        <v>0</v>
      </c>
      <c r="M52" s="112">
        <f t="shared" si="12"/>
        <v>0</v>
      </c>
      <c r="N52" s="112">
        <f t="shared" si="13"/>
        <v>0</v>
      </c>
      <c r="O52" s="112">
        <f t="shared" si="14"/>
        <v>0</v>
      </c>
      <c r="P52" s="53"/>
    </row>
    <row r="53" spans="1:18" ht="14.5" x14ac:dyDescent="0.35">
      <c r="A53" s="65">
        <v>4201</v>
      </c>
      <c r="B53" s="57" t="s">
        <v>119</v>
      </c>
      <c r="C53" s="51">
        <f>SUMIFS('Midnight Drawer'!H:H,'Midnight Drawer'!C:C,Summary!A53,'Midnight Drawer'!G:G,"5105")</f>
        <v>0</v>
      </c>
      <c r="D53" s="51">
        <f>SUMIFS('EFTs in MidN drawer'!E:E,'EFTs in MidN drawer'!A:A,Summary!A53,'EFTs in MidN drawer'!H:H,"After Midnight")</f>
        <v>0</v>
      </c>
      <c r="E53" s="51">
        <f>SUMIFS('EFTs in MidN drawer'!E:E,'EFTs in MidN drawer'!A:A,Summary!A53,'EFTs in MidN drawer'!H:H,"Before Bank Cut Off")</f>
        <v>0</v>
      </c>
      <c r="F53" s="112">
        <f>SUMIFS('EFTs in MidN drawer'!E:E,'EFTs in MidN drawer'!A:A,Summary!A53,'EFTs in MidN drawer'!H:H,"In Between")</f>
        <v>0</v>
      </c>
      <c r="G53" s="119">
        <f>SUMIF('Sales After Settlement Time'!A:A,Summary!A53,'Sales After Settlement Time'!C:C)</f>
        <v>0</v>
      </c>
      <c r="H53" s="52"/>
      <c r="I53" s="51">
        <f>IFERROR(VLOOKUP(B53,'5105 Opening'!A:B,2,FALSE),0)</f>
        <v>0</v>
      </c>
      <c r="J53" s="51">
        <f>IFERROR(VLOOKUP(B53,'5105'!A:B,2,FALSE),0)</f>
        <v>0</v>
      </c>
      <c r="K53" s="112">
        <f t="shared" si="10"/>
        <v>0</v>
      </c>
      <c r="L53" s="112">
        <f t="shared" si="11"/>
        <v>0</v>
      </c>
      <c r="M53" s="112">
        <f t="shared" si="12"/>
        <v>0</v>
      </c>
      <c r="N53" s="112">
        <f t="shared" si="13"/>
        <v>0</v>
      </c>
      <c r="O53" s="112">
        <f t="shared" si="14"/>
        <v>0</v>
      </c>
      <c r="P53" s="53"/>
    </row>
    <row r="54" spans="1:18" ht="14.5" x14ac:dyDescent="0.35">
      <c r="A54" s="65">
        <v>4203</v>
      </c>
      <c r="B54" s="57" t="s">
        <v>120</v>
      </c>
      <c r="C54" s="51">
        <f>SUMIFS('Midnight Drawer'!H:H,'Midnight Drawer'!C:C,Summary!A54,'Midnight Drawer'!G:G,"5105")</f>
        <v>0</v>
      </c>
      <c r="D54" s="51">
        <f>SUMIFS('EFTs in MidN drawer'!E:E,'EFTs in MidN drawer'!A:A,Summary!A54,'EFTs in MidN drawer'!H:H,"After Midnight")</f>
        <v>0</v>
      </c>
      <c r="E54" s="51">
        <f>SUMIFS('EFTs in MidN drawer'!E:E,'EFTs in MidN drawer'!A:A,Summary!A54,'EFTs in MidN drawer'!H:H,"Before Bank Cut Off")</f>
        <v>0</v>
      </c>
      <c r="F54" s="112">
        <f>SUMIFS('EFTs in MidN drawer'!E:E,'EFTs in MidN drawer'!A:A,Summary!A54,'EFTs in MidN drawer'!H:H,"In Between")</f>
        <v>0</v>
      </c>
      <c r="G54" s="119">
        <f>SUMIF('Sales After Settlement Time'!A:A,Summary!A54,'Sales After Settlement Time'!C:C)</f>
        <v>0</v>
      </c>
      <c r="H54" s="52"/>
      <c r="I54" s="51">
        <f>IFERROR(VLOOKUP(B54,'5105 Opening'!A:B,2,FALSE),0)</f>
        <v>0</v>
      </c>
      <c r="J54" s="51">
        <f>IFERROR(VLOOKUP(B54,'5105'!A:B,2,FALSE),0)</f>
        <v>0</v>
      </c>
      <c r="K54" s="112">
        <f t="shared" si="10"/>
        <v>0</v>
      </c>
      <c r="L54" s="112">
        <f t="shared" si="11"/>
        <v>0</v>
      </c>
      <c r="M54" s="112">
        <f t="shared" si="12"/>
        <v>0</v>
      </c>
      <c r="N54" s="112">
        <f t="shared" si="13"/>
        <v>0</v>
      </c>
      <c r="O54" s="112">
        <f t="shared" si="14"/>
        <v>0</v>
      </c>
      <c r="P54" s="53"/>
    </row>
    <row r="55" spans="1:18" ht="14.5" x14ac:dyDescent="0.35">
      <c r="A55" s="65">
        <v>4235</v>
      </c>
      <c r="B55" s="57" t="s">
        <v>54</v>
      </c>
      <c r="C55" s="51">
        <f>SUMIFS('Midnight Drawer'!H:H,'Midnight Drawer'!C:C,Summary!A55,'Midnight Drawer'!G:G,"5105")</f>
        <v>0</v>
      </c>
      <c r="D55" s="51">
        <f>SUMIFS('EFTs in MidN drawer'!E:E,'EFTs in MidN drawer'!A:A,Summary!A55,'EFTs in MidN drawer'!H:H,"After Midnight")</f>
        <v>0</v>
      </c>
      <c r="E55" s="51">
        <f>SUMIFS('EFTs in MidN drawer'!E:E,'EFTs in MidN drawer'!A:A,Summary!A55,'EFTs in MidN drawer'!H:H,"Before Bank Cut Off")</f>
        <v>0</v>
      </c>
      <c r="F55" s="112">
        <f>SUMIFS('EFTs in MidN drawer'!E:E,'EFTs in MidN drawer'!A:A,Summary!A55,'EFTs in MidN drawer'!H:H,"In Between")</f>
        <v>0</v>
      </c>
      <c r="G55" s="119">
        <f>SUMIF('Sales After Settlement Time'!A:A,Summary!A55,'Sales After Settlement Time'!C:C)</f>
        <v>0</v>
      </c>
      <c r="H55" s="52"/>
      <c r="I55" s="51">
        <f>IFERROR(VLOOKUP(B55,'5105 Opening'!A:B,2,FALSE),0)</f>
        <v>0</v>
      </c>
      <c r="J55" s="51">
        <f>IFERROR(VLOOKUP(B55,'5105'!A:B,2,FALSE),0)</f>
        <v>0</v>
      </c>
      <c r="K55" s="112">
        <f t="shared" si="10"/>
        <v>0</v>
      </c>
      <c r="L55" s="112">
        <f t="shared" si="11"/>
        <v>0</v>
      </c>
      <c r="M55" s="112">
        <f t="shared" si="12"/>
        <v>0</v>
      </c>
      <c r="N55" s="112">
        <f t="shared" si="13"/>
        <v>0</v>
      </c>
      <c r="O55" s="112">
        <f t="shared" si="14"/>
        <v>0</v>
      </c>
      <c r="P55" s="53">
        <f>G55-F55</f>
        <v>0</v>
      </c>
      <c r="Q55" s="45" t="str">
        <f>LEFT(B55,4)&amp;5105</f>
        <v>42355105</v>
      </c>
    </row>
    <row r="56" spans="1:18" ht="14.5" x14ac:dyDescent="0.35">
      <c r="A56" s="65">
        <v>4239</v>
      </c>
      <c r="B56" s="57" t="s">
        <v>55</v>
      </c>
      <c r="C56" s="51">
        <f>SUMIFS('Midnight Drawer'!H:H,'Midnight Drawer'!C:C,Summary!A56,'Midnight Drawer'!G:G,"5105")</f>
        <v>0</v>
      </c>
      <c r="D56" s="51">
        <f>SUMIFS('EFTs in MidN drawer'!E:E,'EFTs in MidN drawer'!A:A,Summary!A56,'EFTs in MidN drawer'!H:H,"After Midnight")</f>
        <v>0</v>
      </c>
      <c r="E56" s="51">
        <f>SUMIFS('EFTs in MidN drawer'!E:E,'EFTs in MidN drawer'!A:A,Summary!A56,'EFTs in MidN drawer'!H:H,"Before Bank Cut Off")</f>
        <v>0</v>
      </c>
      <c r="F56" s="112">
        <f>SUMIFS('EFTs in MidN drawer'!E:E,'EFTs in MidN drawer'!A:A,Summary!A56,'EFTs in MidN drawer'!H:H,"In Between")</f>
        <v>0</v>
      </c>
      <c r="G56" s="119">
        <f>SUMIF('Sales After Settlement Time'!A:A,Summary!A56,'Sales After Settlement Time'!C:C)</f>
        <v>0</v>
      </c>
      <c r="H56" s="52"/>
      <c r="I56" s="51">
        <f>IFERROR(VLOOKUP(B56,'5105 Opening'!A:B,2,FALSE),0)</f>
        <v>0</v>
      </c>
      <c r="J56" s="51">
        <f>IFERROR(VLOOKUP(B56,'5105'!A:B,2,FALSE),0)</f>
        <v>0</v>
      </c>
      <c r="K56" s="112">
        <f>I56+J56</f>
        <v>0</v>
      </c>
      <c r="L56" s="112">
        <f t="shared" si="11"/>
        <v>0</v>
      </c>
      <c r="M56" s="112">
        <f t="shared" si="12"/>
        <v>0</v>
      </c>
      <c r="N56" s="112">
        <f t="shared" si="13"/>
        <v>0</v>
      </c>
      <c r="O56" s="112">
        <f t="shared" si="14"/>
        <v>0</v>
      </c>
      <c r="P56" s="53">
        <f>G56-F56</f>
        <v>0</v>
      </c>
      <c r="Q56" s="45" t="str">
        <f>LEFT(B56,4)&amp;5105</f>
        <v>42395105</v>
      </c>
    </row>
    <row r="57" spans="1:18" ht="14.5" x14ac:dyDescent="0.35">
      <c r="A57" s="65">
        <v>4244</v>
      </c>
      <c r="B57" s="57" t="s">
        <v>56</v>
      </c>
      <c r="C57" s="51">
        <f>SUMIFS('Midnight Drawer'!H:H,'Midnight Drawer'!C:C,Summary!A57,'Midnight Drawer'!G:G,"5105")</f>
        <v>0</v>
      </c>
      <c r="D57" s="51">
        <f>SUMIFS('EFTs in MidN drawer'!E:E,'EFTs in MidN drawer'!A:A,Summary!A57,'EFTs in MidN drawer'!H:H,"After Midnight")</f>
        <v>0</v>
      </c>
      <c r="E57" s="51">
        <f>SUMIFS('EFTs in MidN drawer'!E:E,'EFTs in MidN drawer'!A:A,Summary!A57,'EFTs in MidN drawer'!H:H,"Before Bank Cut Off")</f>
        <v>0</v>
      </c>
      <c r="F57" s="112">
        <f>SUMIFS('EFTs in MidN drawer'!E:E,'EFTs in MidN drawer'!A:A,Summary!A57,'EFTs in MidN drawer'!H:H,"In Between")</f>
        <v>0</v>
      </c>
      <c r="G57" s="119">
        <f>SUMIF('Sales After Settlement Time'!A:A,Summary!A57,'Sales After Settlement Time'!C:C)</f>
        <v>0</v>
      </c>
      <c r="H57" s="52"/>
      <c r="I57" s="51">
        <f>IFERROR(VLOOKUP(B57,'5105 Opening'!A:B,2,FALSE),0)</f>
        <v>0</v>
      </c>
      <c r="J57" s="51">
        <f>IFERROR(VLOOKUP(B57,'5105'!A:B,2,FALSE),0)</f>
        <v>0</v>
      </c>
      <c r="K57" s="112">
        <f t="shared" si="10"/>
        <v>0</v>
      </c>
      <c r="L57" s="112">
        <f t="shared" si="11"/>
        <v>0</v>
      </c>
      <c r="M57" s="112">
        <f t="shared" si="12"/>
        <v>0</v>
      </c>
      <c r="N57" s="112">
        <f t="shared" si="13"/>
        <v>0</v>
      </c>
      <c r="O57" s="112">
        <f t="shared" si="14"/>
        <v>0</v>
      </c>
      <c r="P57" s="53">
        <f>G57-F57</f>
        <v>0</v>
      </c>
      <c r="Q57" s="45" t="str">
        <f>LEFT(B57,4)&amp;5105</f>
        <v>42445105</v>
      </c>
      <c r="R57" s="88"/>
    </row>
    <row r="58" spans="1:18" ht="14.5" x14ac:dyDescent="0.35">
      <c r="A58" s="65">
        <v>4250</v>
      </c>
      <c r="B58" s="57" t="s">
        <v>143</v>
      </c>
      <c r="C58" s="51">
        <f>SUMIFS('Midnight Drawer'!H:H,'Midnight Drawer'!C:C,Summary!A58,'Midnight Drawer'!G:G,"5105")</f>
        <v>0</v>
      </c>
      <c r="D58" s="51">
        <f>SUMIFS('EFTs in MidN drawer'!E:E,'EFTs in MidN drawer'!A:A,Summary!A58,'EFTs in MidN drawer'!H:H,"After Midnight")</f>
        <v>0</v>
      </c>
      <c r="E58" s="51">
        <f>SUMIFS('EFTs in MidN drawer'!E:E,'EFTs in MidN drawer'!A:A,Summary!A58,'EFTs in MidN drawer'!H:H,"Before Bank Cut Off")</f>
        <v>0</v>
      </c>
      <c r="F58" s="112">
        <f>SUMIFS('EFTs in MidN drawer'!E:E,'EFTs in MidN drawer'!A:A,Summary!A58,'EFTs in MidN drawer'!H:H,"In Between")</f>
        <v>0</v>
      </c>
      <c r="G58" s="119">
        <f>SUMIF('Sales After Settlement Time'!A:A,Summary!A58,'Sales After Settlement Time'!C:C)</f>
        <v>0</v>
      </c>
      <c r="H58" s="52"/>
      <c r="I58" s="51">
        <f>IFERROR(VLOOKUP(B58,'5105 Opening'!A:B,2,FALSE),0)</f>
        <v>0</v>
      </c>
      <c r="J58" s="51">
        <f>IFERROR(VLOOKUP(B58,'5105'!A:B,2,FALSE),0)</f>
        <v>0</v>
      </c>
      <c r="K58" s="112">
        <f t="shared" ref="K58" si="52">I58+J58</f>
        <v>0</v>
      </c>
      <c r="L58" s="112">
        <f t="shared" ref="L58" si="53">C58-D58</f>
        <v>0</v>
      </c>
      <c r="M58" s="112">
        <f t="shared" ref="M58" si="54">K58+L58</f>
        <v>0</v>
      </c>
      <c r="N58" s="112">
        <f t="shared" ref="N58" si="55">G58</f>
        <v>0</v>
      </c>
      <c r="O58" s="112">
        <f t="shared" ref="O58" si="56">M58-N58</f>
        <v>0</v>
      </c>
      <c r="P58" s="53"/>
      <c r="R58" s="88"/>
    </row>
    <row r="59" spans="1:18" ht="14.5" x14ac:dyDescent="0.35">
      <c r="A59" s="65">
        <v>4530</v>
      </c>
      <c r="B59" s="57" t="s">
        <v>57</v>
      </c>
      <c r="C59" s="51">
        <f>SUMIFS('Midnight Drawer'!H:H,'Midnight Drawer'!C:C,Summary!A59,'Midnight Drawer'!G:G,"5105")</f>
        <v>0</v>
      </c>
      <c r="D59" s="51">
        <f>SUMIFS('EFTs in MidN drawer'!E:E,'EFTs in MidN drawer'!A:A,Summary!A59,'EFTs in MidN drawer'!H:H,"After Midnight")</f>
        <v>0</v>
      </c>
      <c r="E59" s="51">
        <f>SUMIFS('EFTs in MidN drawer'!E:E,'EFTs in MidN drawer'!A:A,Summary!A59,'EFTs in MidN drawer'!H:H,"Before Bank Cut Off")</f>
        <v>0</v>
      </c>
      <c r="F59" s="112">
        <f>SUMIFS('EFTs in MidN drawer'!E:E,'EFTs in MidN drawer'!A:A,Summary!A59,'EFTs in MidN drawer'!H:H,"In Between")</f>
        <v>0</v>
      </c>
      <c r="G59" s="119">
        <f>SUMIF('Sales After Settlement Time'!A:A,Summary!A59,'Sales After Settlement Time'!C:C)</f>
        <v>0</v>
      </c>
      <c r="H59" s="52"/>
      <c r="I59" s="51">
        <f>IFERROR(VLOOKUP(B59,'5105 Opening'!A:B,2,FALSE),0)</f>
        <v>0</v>
      </c>
      <c r="J59" s="51">
        <f>IFERROR(VLOOKUP(B59,'5105'!A:B,2,FALSE),0)</f>
        <v>0</v>
      </c>
      <c r="K59" s="112">
        <f t="shared" si="10"/>
        <v>0</v>
      </c>
      <c r="L59" s="112">
        <f t="shared" si="11"/>
        <v>0</v>
      </c>
      <c r="M59" s="112">
        <f t="shared" si="12"/>
        <v>0</v>
      </c>
      <c r="N59" s="112">
        <f t="shared" si="13"/>
        <v>0</v>
      </c>
      <c r="O59" s="112">
        <f t="shared" si="14"/>
        <v>0</v>
      </c>
      <c r="P59" s="53">
        <f t="shared" ref="P59:P65" si="57">G59-F59</f>
        <v>0</v>
      </c>
      <c r="Q59" s="45" t="str">
        <f t="shared" ref="Q59:Q65" si="58">LEFT(B59,4)&amp;5105</f>
        <v>45305105</v>
      </c>
    </row>
    <row r="60" spans="1:18" ht="14.5" x14ac:dyDescent="0.35">
      <c r="A60" s="65">
        <v>4770</v>
      </c>
      <c r="B60" s="57" t="s">
        <v>58</v>
      </c>
      <c r="C60" s="51">
        <f>SUMIFS('Midnight Drawer'!H:H,'Midnight Drawer'!C:C,Summary!A60,'Midnight Drawer'!G:G,"5105")</f>
        <v>0</v>
      </c>
      <c r="D60" s="51">
        <f>SUMIFS('EFTs in MidN drawer'!E:E,'EFTs in MidN drawer'!A:A,Summary!A60,'EFTs in MidN drawer'!H:H,"After Midnight")</f>
        <v>0</v>
      </c>
      <c r="E60" s="51">
        <f>SUMIFS('EFTs in MidN drawer'!E:E,'EFTs in MidN drawer'!A:A,Summary!A60,'EFTs in MidN drawer'!H:H,"Before Bank Cut Off")</f>
        <v>0</v>
      </c>
      <c r="F60" s="112">
        <f>SUMIFS('EFTs in MidN drawer'!E:E,'EFTs in MidN drawer'!A:A,Summary!A60,'EFTs in MidN drawer'!H:H,"In Between")</f>
        <v>0</v>
      </c>
      <c r="G60" s="119">
        <f>SUMIF('Sales After Settlement Time'!A:A,Summary!A60,'Sales After Settlement Time'!C:C)</f>
        <v>0</v>
      </c>
      <c r="H60" s="52"/>
      <c r="I60" s="51">
        <f>IFERROR(VLOOKUP(B60,'5105 Opening'!A:B,2,FALSE),0)</f>
        <v>0</v>
      </c>
      <c r="J60" s="51">
        <f>IFERROR(VLOOKUP(B60,'5105'!A:B,2,FALSE),0)</f>
        <v>0</v>
      </c>
      <c r="K60" s="112">
        <f t="shared" si="10"/>
        <v>0</v>
      </c>
      <c r="L60" s="112">
        <f t="shared" si="11"/>
        <v>0</v>
      </c>
      <c r="M60" s="112">
        <f t="shared" si="12"/>
        <v>0</v>
      </c>
      <c r="N60" s="112">
        <f t="shared" si="13"/>
        <v>0</v>
      </c>
      <c r="O60" s="112">
        <f t="shared" si="14"/>
        <v>0</v>
      </c>
      <c r="P60" s="53">
        <f t="shared" si="57"/>
        <v>0</v>
      </c>
      <c r="Q60" s="45" t="str">
        <f t="shared" si="58"/>
        <v>47705105</v>
      </c>
      <c r="R60" s="88"/>
    </row>
    <row r="61" spans="1:18" ht="14.5" x14ac:dyDescent="0.35">
      <c r="A61" s="65">
        <v>4775</v>
      </c>
      <c r="B61" s="57" t="s">
        <v>59</v>
      </c>
      <c r="C61" s="51">
        <f>SUMIFS('Midnight Drawer'!H:H,'Midnight Drawer'!C:C,Summary!A61,'Midnight Drawer'!G:G,"5105")</f>
        <v>0</v>
      </c>
      <c r="D61" s="51">
        <f>SUMIFS('EFTs in MidN drawer'!E:E,'EFTs in MidN drawer'!A:A,Summary!A61,'EFTs in MidN drawer'!H:H,"After Midnight")</f>
        <v>0</v>
      </c>
      <c r="E61" s="51">
        <f>SUMIFS('EFTs in MidN drawer'!E:E,'EFTs in MidN drawer'!A:A,Summary!A61,'EFTs in MidN drawer'!H:H,"Before Bank Cut Off")</f>
        <v>0</v>
      </c>
      <c r="F61" s="112">
        <f>SUMIFS('EFTs in MidN drawer'!E:E,'EFTs in MidN drawer'!A:A,Summary!A61,'EFTs in MidN drawer'!H:H,"In Between")</f>
        <v>0</v>
      </c>
      <c r="G61" s="119">
        <f>SUMIF('Sales After Settlement Time'!A:A,Summary!A61,'Sales After Settlement Time'!C:C)</f>
        <v>0</v>
      </c>
      <c r="H61" s="52"/>
      <c r="I61" s="51">
        <f>IFERROR(VLOOKUP(B61,'5105 Opening'!A:B,2,FALSE),0)</f>
        <v>0</v>
      </c>
      <c r="J61" s="51">
        <f>IFERROR(VLOOKUP(B61,'5105'!A:B,2,FALSE),0)</f>
        <v>0</v>
      </c>
      <c r="K61" s="112">
        <f t="shared" si="10"/>
        <v>0</v>
      </c>
      <c r="L61" s="112">
        <f t="shared" si="11"/>
        <v>0</v>
      </c>
      <c r="M61" s="112">
        <f t="shared" si="12"/>
        <v>0</v>
      </c>
      <c r="N61" s="112">
        <f t="shared" si="13"/>
        <v>0</v>
      </c>
      <c r="O61" s="112">
        <f t="shared" si="14"/>
        <v>0</v>
      </c>
      <c r="P61" s="53">
        <f t="shared" si="57"/>
        <v>0</v>
      </c>
      <c r="Q61" s="45" t="str">
        <f t="shared" si="58"/>
        <v>47755105</v>
      </c>
    </row>
    <row r="62" spans="1:18" ht="14.5" x14ac:dyDescent="0.35">
      <c r="A62" s="65">
        <v>5531</v>
      </c>
      <c r="B62" s="57" t="s">
        <v>60</v>
      </c>
      <c r="C62" s="51">
        <f>SUMIFS('Midnight Drawer'!H:H,'Midnight Drawer'!C:C,Summary!A62,'Midnight Drawer'!G:G,"5105")</f>
        <v>0</v>
      </c>
      <c r="D62" s="51">
        <f>SUMIFS('EFTs in MidN drawer'!E:E,'EFTs in MidN drawer'!A:A,Summary!A62,'EFTs in MidN drawer'!H:H,"After Midnight")</f>
        <v>0</v>
      </c>
      <c r="E62" s="51">
        <f>SUMIFS('EFTs in MidN drawer'!E:E,'EFTs in MidN drawer'!A:A,Summary!A62,'EFTs in MidN drawer'!H:H,"Before Bank Cut Off")</f>
        <v>0</v>
      </c>
      <c r="F62" s="112">
        <f>SUMIFS('EFTs in MidN drawer'!E:E,'EFTs in MidN drawer'!A:A,Summary!A62,'EFTs in MidN drawer'!H:H,"In Between")</f>
        <v>0</v>
      </c>
      <c r="G62" s="119">
        <f>SUMIF('Sales After Settlement Time'!A:A,Summary!A62,'Sales After Settlement Time'!C:C)</f>
        <v>0</v>
      </c>
      <c r="H62" s="52"/>
      <c r="I62" s="51">
        <f>IFERROR(VLOOKUP(B62,'5105 Opening'!A:B,2,FALSE),0)</f>
        <v>0</v>
      </c>
      <c r="J62" s="51">
        <f>IFERROR(VLOOKUP(B62,'5105'!A:B,2,FALSE),0)</f>
        <v>0</v>
      </c>
      <c r="K62" s="112">
        <f t="shared" si="10"/>
        <v>0</v>
      </c>
      <c r="L62" s="112">
        <f t="shared" si="11"/>
        <v>0</v>
      </c>
      <c r="M62" s="112">
        <f t="shared" si="12"/>
        <v>0</v>
      </c>
      <c r="N62" s="112">
        <f t="shared" si="13"/>
        <v>0</v>
      </c>
      <c r="O62" s="112">
        <f t="shared" si="14"/>
        <v>0</v>
      </c>
      <c r="P62" s="53">
        <f t="shared" si="57"/>
        <v>0</v>
      </c>
      <c r="Q62" s="45" t="str">
        <f t="shared" si="58"/>
        <v>50535105</v>
      </c>
    </row>
    <row r="63" spans="1:18" ht="14.5" x14ac:dyDescent="0.35">
      <c r="A63" s="65">
        <v>5192</v>
      </c>
      <c r="B63" s="57" t="s">
        <v>61</v>
      </c>
      <c r="C63" s="51">
        <f>SUMIFS('Midnight Drawer'!H:H,'Midnight Drawer'!C:C,Summary!A63,'Midnight Drawer'!G:G,"5105")</f>
        <v>0</v>
      </c>
      <c r="D63" s="51">
        <f>SUMIFS('EFTs in MidN drawer'!E:E,'EFTs in MidN drawer'!A:A,Summary!A63,'EFTs in MidN drawer'!H:H,"After Midnight")</f>
        <v>0</v>
      </c>
      <c r="E63" s="51">
        <f>SUMIFS('EFTs in MidN drawer'!E:E,'EFTs in MidN drawer'!A:A,Summary!A63,'EFTs in MidN drawer'!H:H,"Before Bank Cut Off")</f>
        <v>0</v>
      </c>
      <c r="F63" s="112">
        <f>SUMIFS('EFTs in MidN drawer'!E:E,'EFTs in MidN drawer'!A:A,Summary!A63,'EFTs in MidN drawer'!H:H,"In Between")</f>
        <v>0</v>
      </c>
      <c r="G63" s="119">
        <f>SUMIF('Sales After Settlement Time'!A:A,Summary!A63,'Sales After Settlement Time'!C:C)</f>
        <v>0</v>
      </c>
      <c r="H63" s="52"/>
      <c r="I63" s="51">
        <f>IFERROR(VLOOKUP(B63,'5105 Opening'!A:B,2,FALSE),0)</f>
        <v>0</v>
      </c>
      <c r="J63" s="51">
        <f>IFERROR(VLOOKUP(B63,'5105'!A:B,2,FALSE),0)</f>
        <v>0</v>
      </c>
      <c r="K63" s="112">
        <f t="shared" si="10"/>
        <v>0</v>
      </c>
      <c r="L63" s="112">
        <f t="shared" si="11"/>
        <v>0</v>
      </c>
      <c r="M63" s="112">
        <f t="shared" si="12"/>
        <v>0</v>
      </c>
      <c r="N63" s="112">
        <f t="shared" si="13"/>
        <v>0</v>
      </c>
      <c r="O63" s="112">
        <f t="shared" si="14"/>
        <v>0</v>
      </c>
      <c r="P63" s="53">
        <f t="shared" si="57"/>
        <v>0</v>
      </c>
      <c r="Q63" s="45" t="str">
        <f t="shared" si="58"/>
        <v>51925105</v>
      </c>
    </row>
    <row r="64" spans="1:18" ht="14.5" x14ac:dyDescent="0.35">
      <c r="A64" s="65">
        <v>6261</v>
      </c>
      <c r="B64" s="57" t="s">
        <v>62</v>
      </c>
      <c r="C64" s="51">
        <f>SUMIFS('Midnight Drawer'!H:H,'Midnight Drawer'!C:C,Summary!A64,'Midnight Drawer'!G:G,"5105")</f>
        <v>0</v>
      </c>
      <c r="D64" s="51">
        <f>SUMIFS('EFTs in MidN drawer'!E:E,'EFTs in MidN drawer'!A:A,Summary!A64,'EFTs in MidN drawer'!H:H,"After Midnight")</f>
        <v>0</v>
      </c>
      <c r="E64" s="51">
        <f>SUMIFS('EFTs in MidN drawer'!E:E,'EFTs in MidN drawer'!A:A,Summary!A64,'EFTs in MidN drawer'!H:H,"Before Bank Cut Off")</f>
        <v>0</v>
      </c>
      <c r="F64" s="112">
        <f>SUMIFS('EFTs in MidN drawer'!E:E,'EFTs in MidN drawer'!A:A,Summary!A64,'EFTs in MidN drawer'!H:H,"In Between")</f>
        <v>0</v>
      </c>
      <c r="G64" s="119">
        <f>SUMIF('Sales After Settlement Time'!A:A,Summary!A64,'Sales After Settlement Time'!C:C)</f>
        <v>0</v>
      </c>
      <c r="H64" s="52"/>
      <c r="I64" s="51">
        <f>IFERROR(VLOOKUP(B64,'5105 Opening'!A:B,2,FALSE),0)</f>
        <v>0</v>
      </c>
      <c r="J64" s="51">
        <f>IFERROR(VLOOKUP(B64,'5105'!A:B,2,FALSE),0)</f>
        <v>0</v>
      </c>
      <c r="K64" s="112">
        <f t="shared" si="10"/>
        <v>0</v>
      </c>
      <c r="L64" s="112">
        <f t="shared" si="11"/>
        <v>0</v>
      </c>
      <c r="M64" s="112">
        <f t="shared" si="12"/>
        <v>0</v>
      </c>
      <c r="N64" s="112">
        <f t="shared" si="13"/>
        <v>0</v>
      </c>
      <c r="O64" s="112">
        <f t="shared" si="14"/>
        <v>0</v>
      </c>
      <c r="P64" s="53">
        <f t="shared" si="57"/>
        <v>0</v>
      </c>
      <c r="Q64" s="45" t="str">
        <f t="shared" si="58"/>
        <v>60265105</v>
      </c>
    </row>
    <row r="65" spans="1:18" ht="14.5" x14ac:dyDescent="0.35">
      <c r="A65" s="65">
        <v>6087</v>
      </c>
      <c r="B65" s="57" t="s">
        <v>63</v>
      </c>
      <c r="C65" s="51">
        <f>SUMIFS('Midnight Drawer'!H:H,'Midnight Drawer'!C:C,Summary!A65,'Midnight Drawer'!G:G,"5105")</f>
        <v>0</v>
      </c>
      <c r="D65" s="51">
        <f>SUMIFS('EFTs in MidN drawer'!E:E,'EFTs in MidN drawer'!A:A,Summary!A65,'EFTs in MidN drawer'!H:H,"After Midnight")</f>
        <v>0</v>
      </c>
      <c r="E65" s="51">
        <f>SUMIFS('EFTs in MidN drawer'!E:E,'EFTs in MidN drawer'!A:A,Summary!A65,'EFTs in MidN drawer'!H:H,"Before Bank Cut Off")</f>
        <v>0</v>
      </c>
      <c r="F65" s="112">
        <f>SUMIFS('EFTs in MidN drawer'!E:E,'EFTs in MidN drawer'!A:A,Summary!A65,'EFTs in MidN drawer'!H:H,"In Between")</f>
        <v>0</v>
      </c>
      <c r="G65" s="119">
        <f>SUMIF('Sales After Settlement Time'!A:A,Summary!A65,'Sales After Settlement Time'!C:C)</f>
        <v>0</v>
      </c>
      <c r="H65" s="52"/>
      <c r="I65" s="51">
        <f>IFERROR(VLOOKUP(B65,'5105 Opening'!A:B,2,FALSE),0)</f>
        <v>0</v>
      </c>
      <c r="J65" s="51">
        <f>IFERROR(VLOOKUP(B65,'5105'!A:B,2,FALSE),0)</f>
        <v>0</v>
      </c>
      <c r="K65" s="112">
        <f>I65+J65</f>
        <v>0</v>
      </c>
      <c r="L65" s="112">
        <f t="shared" si="11"/>
        <v>0</v>
      </c>
      <c r="M65" s="112">
        <f t="shared" si="12"/>
        <v>0</v>
      </c>
      <c r="N65" s="112">
        <f>G65</f>
        <v>0</v>
      </c>
      <c r="O65" s="112">
        <f>M65-N65</f>
        <v>0</v>
      </c>
      <c r="P65" s="53">
        <f t="shared" si="57"/>
        <v>0</v>
      </c>
      <c r="Q65" s="45" t="str">
        <f t="shared" si="58"/>
        <v>60875105</v>
      </c>
    </row>
    <row r="66" spans="1:18" ht="14.5" x14ac:dyDescent="0.35">
      <c r="A66" s="65">
        <v>6089</v>
      </c>
      <c r="B66" s="74" t="s">
        <v>121</v>
      </c>
      <c r="C66" s="51">
        <f>SUMIFS('Midnight Drawer'!H:H,'Midnight Drawer'!C:C,Summary!A66,'Midnight Drawer'!G:G,"5105")</f>
        <v>0</v>
      </c>
      <c r="D66" s="51">
        <f>SUMIFS('EFTs in MidN drawer'!E:E,'EFTs in MidN drawer'!A:A,Summary!A66,'EFTs in MidN drawer'!H:H,"After Midnight")</f>
        <v>0</v>
      </c>
      <c r="E66" s="51">
        <f>SUMIFS('EFTs in MidN drawer'!E:E,'EFTs in MidN drawer'!A:A,Summary!A66,'EFTs in MidN drawer'!H:H,"Before Bank Cut Off")</f>
        <v>0</v>
      </c>
      <c r="F66" s="112">
        <f>SUMIFS('EFTs in MidN drawer'!E:E,'EFTs in MidN drawer'!A:A,Summary!A66,'EFTs in MidN drawer'!H:H,"In Between")</f>
        <v>0</v>
      </c>
      <c r="G66" s="119">
        <f>SUMIF('Sales After Settlement Time'!A:A,Summary!A66,'Sales After Settlement Time'!C:C)</f>
        <v>0</v>
      </c>
      <c r="H66" s="52"/>
      <c r="I66" s="51">
        <f>IFERROR(VLOOKUP(B66,'5105 Opening'!A:B,2,FALSE),0)</f>
        <v>0</v>
      </c>
      <c r="J66" s="51">
        <f>IFERROR(VLOOKUP(B66,'5105'!A:B,2,FALSE),0)</f>
        <v>0</v>
      </c>
      <c r="K66" s="112">
        <f t="shared" si="10"/>
        <v>0</v>
      </c>
      <c r="L66" s="112">
        <f t="shared" si="11"/>
        <v>0</v>
      </c>
      <c r="M66" s="112">
        <f t="shared" si="12"/>
        <v>0</v>
      </c>
      <c r="N66" s="112">
        <f t="shared" si="13"/>
        <v>0</v>
      </c>
      <c r="O66" s="112">
        <f t="shared" si="14"/>
        <v>0</v>
      </c>
      <c r="P66" s="53"/>
    </row>
    <row r="67" spans="1:18" ht="14.5" x14ac:dyDescent="0.35">
      <c r="A67" s="65">
        <v>6165</v>
      </c>
      <c r="B67" s="57" t="s">
        <v>64</v>
      </c>
      <c r="C67" s="51">
        <f>SUMIFS('Midnight Drawer'!H:H,'Midnight Drawer'!C:C,Summary!A67,'Midnight Drawer'!G:G,"5105")</f>
        <v>0</v>
      </c>
      <c r="D67" s="51">
        <f>SUMIFS('EFTs in MidN drawer'!E:E,'EFTs in MidN drawer'!A:A,Summary!A67,'EFTs in MidN drawer'!H:H,"After Midnight")</f>
        <v>0</v>
      </c>
      <c r="E67" s="51">
        <f>SUMIFS('EFTs in MidN drawer'!E:E,'EFTs in MidN drawer'!A:A,Summary!A67,'EFTs in MidN drawer'!H:H,"Before Bank Cut Off")</f>
        <v>0</v>
      </c>
      <c r="F67" s="112">
        <f>SUMIFS('EFTs in MidN drawer'!E:E,'EFTs in MidN drawer'!A:A,Summary!A67,'EFTs in MidN drawer'!H:H,"In Between")</f>
        <v>0</v>
      </c>
      <c r="G67" s="119">
        <f>SUMIF('Sales After Settlement Time'!A:A,Summary!A67,'Sales After Settlement Time'!C:C)</f>
        <v>0</v>
      </c>
      <c r="H67" s="52"/>
      <c r="I67" s="51">
        <f>IFERROR(VLOOKUP(B67,'5105 Opening'!A:B,2,FALSE),0)</f>
        <v>0</v>
      </c>
      <c r="J67" s="51">
        <f>IFERROR(VLOOKUP(B67,'5105'!A:B,2,FALSE),0)</f>
        <v>0</v>
      </c>
      <c r="K67" s="112">
        <f t="shared" si="10"/>
        <v>0</v>
      </c>
      <c r="L67" s="112">
        <f t="shared" si="11"/>
        <v>0</v>
      </c>
      <c r="M67" s="112">
        <f t="shared" si="12"/>
        <v>0</v>
      </c>
      <c r="N67" s="112">
        <f t="shared" si="13"/>
        <v>0</v>
      </c>
      <c r="O67" s="112">
        <f t="shared" si="14"/>
        <v>0</v>
      </c>
      <c r="P67" s="53">
        <f>G67-F67</f>
        <v>0</v>
      </c>
      <c r="Q67" s="45" t="str">
        <f>LEFT(B67,4)&amp;5105</f>
        <v>61655105</v>
      </c>
    </row>
    <row r="68" spans="1:18" ht="14.5" x14ac:dyDescent="0.35">
      <c r="A68" s="65">
        <v>6176</v>
      </c>
      <c r="B68" s="86" t="s">
        <v>138</v>
      </c>
      <c r="C68" s="51">
        <f>SUMIFS('Midnight Drawer'!H:H,'Midnight Drawer'!C:C,Summary!A68,'Midnight Drawer'!G:G,"5105")</f>
        <v>0</v>
      </c>
      <c r="D68" s="51">
        <f>SUMIFS('EFTs in MidN drawer'!E:E,'EFTs in MidN drawer'!A:A,Summary!A68,'EFTs in MidN drawer'!H:H,"After Midnight")</f>
        <v>0</v>
      </c>
      <c r="E68" s="51">
        <f>SUMIFS('EFTs in MidN drawer'!E:E,'EFTs in MidN drawer'!A:A,Summary!A68,'EFTs in MidN drawer'!H:H,"Before Bank Cut Off")</f>
        <v>0</v>
      </c>
      <c r="F68" s="112">
        <f>SUMIFS('EFTs in MidN drawer'!E:E,'EFTs in MidN drawer'!A:A,Summary!A68,'EFTs in MidN drawer'!H:H,"In Between")</f>
        <v>0</v>
      </c>
      <c r="G68" s="119">
        <f>SUMIF('Sales After Settlement Time'!A:A,Summary!A68,'Sales After Settlement Time'!C:C)</f>
        <v>443.85</v>
      </c>
      <c r="H68" s="52"/>
      <c r="I68" s="51">
        <f>IFERROR(VLOOKUP(B68,'5105 Opening'!A:B,2,FALSE),0)</f>
        <v>0</v>
      </c>
      <c r="J68" s="51">
        <f>IFERROR(VLOOKUP(B68,'5105'!A:B,2,FALSE),0)</f>
        <v>443.84999999999991</v>
      </c>
      <c r="K68" s="112">
        <f t="shared" ref="K68" si="59">I68+J68</f>
        <v>443.84999999999991</v>
      </c>
      <c r="L68" s="112">
        <f t="shared" ref="L68" si="60">C68-D68</f>
        <v>0</v>
      </c>
      <c r="M68" s="112">
        <f t="shared" ref="M68" si="61">K68+L68</f>
        <v>443.84999999999991</v>
      </c>
      <c r="N68" s="112">
        <f t="shared" ref="N68" si="62">G68</f>
        <v>443.85</v>
      </c>
      <c r="O68" s="112">
        <f t="shared" ref="O68" si="63">M68-N68</f>
        <v>0</v>
      </c>
      <c r="P68" s="53"/>
      <c r="R68" s="88"/>
    </row>
    <row r="69" spans="1:18" ht="14.5" x14ac:dyDescent="0.35">
      <c r="A69" s="65">
        <v>7641</v>
      </c>
      <c r="B69" s="57" t="s">
        <v>65</v>
      </c>
      <c r="C69" s="51">
        <f>SUMIFS('Midnight Drawer'!H:H,'Midnight Drawer'!C:C,Summary!A69,'Midnight Drawer'!G:G,"5105")</f>
        <v>0</v>
      </c>
      <c r="D69" s="51">
        <f>SUMIFS('EFTs in MidN drawer'!E:E,'EFTs in MidN drawer'!A:A,Summary!A69,'EFTs in MidN drawer'!H:H,"After Midnight")</f>
        <v>0</v>
      </c>
      <c r="E69" s="51">
        <f>SUMIFS('EFTs in MidN drawer'!E:E,'EFTs in MidN drawer'!A:A,Summary!A69,'EFTs in MidN drawer'!H:H,"Before Bank Cut Off")</f>
        <v>0</v>
      </c>
      <c r="F69" s="112">
        <f>SUMIFS('EFTs in MidN drawer'!E:E,'EFTs in MidN drawer'!A:A,Summary!A69,'EFTs in MidN drawer'!H:H,"In Between")</f>
        <v>0</v>
      </c>
      <c r="G69" s="119">
        <f>SUMIF('Sales After Settlement Time'!A:A,Summary!A69,'Sales After Settlement Time'!C:C)</f>
        <v>0</v>
      </c>
      <c r="H69" s="52"/>
      <c r="I69" s="51">
        <f>IFERROR(VLOOKUP(B69,'5105 Opening'!A:B,2,FALSE),0)</f>
        <v>0</v>
      </c>
      <c r="J69" s="51">
        <f>IFERROR(VLOOKUP(B69,'5105'!A:B,2,FALSE),0)</f>
        <v>0</v>
      </c>
      <c r="K69" s="112">
        <f t="shared" si="10"/>
        <v>0</v>
      </c>
      <c r="L69" s="112">
        <f t="shared" si="11"/>
        <v>0</v>
      </c>
      <c r="M69" s="112">
        <f t="shared" si="12"/>
        <v>0</v>
      </c>
      <c r="N69" s="112">
        <f t="shared" si="13"/>
        <v>0</v>
      </c>
      <c r="O69" s="112">
        <f t="shared" si="14"/>
        <v>0</v>
      </c>
      <c r="P69" s="53">
        <f t="shared" ref="P69:P77" si="64">G69-F69</f>
        <v>0</v>
      </c>
      <c r="Q69" s="45" t="str">
        <f t="shared" ref="Q69:Q77" si="65">LEFT(B69,4)&amp;5105</f>
        <v>70645105</v>
      </c>
    </row>
    <row r="70" spans="1:18" ht="14.5" x14ac:dyDescent="0.35">
      <c r="A70" s="65">
        <v>7078</v>
      </c>
      <c r="B70" s="57" t="s">
        <v>66</v>
      </c>
      <c r="C70" s="51">
        <f>SUMIFS('Midnight Drawer'!H:H,'Midnight Drawer'!C:C,Summary!A70,'Midnight Drawer'!G:G,"5105")</f>
        <v>0</v>
      </c>
      <c r="D70" s="51">
        <f>SUMIFS('EFTs in MidN drawer'!E:E,'EFTs in MidN drawer'!A:A,Summary!A70,'EFTs in MidN drawer'!H:H,"After Midnight")</f>
        <v>0</v>
      </c>
      <c r="E70" s="51">
        <f>SUMIFS('EFTs in MidN drawer'!E:E,'EFTs in MidN drawer'!A:A,Summary!A70,'EFTs in MidN drawer'!H:H,"Before Bank Cut Off")</f>
        <v>0</v>
      </c>
      <c r="F70" s="112">
        <f>SUMIFS('EFTs in MidN drawer'!E:E,'EFTs in MidN drawer'!A:A,Summary!A70,'EFTs in MidN drawer'!H:H,"In Between")</f>
        <v>0</v>
      </c>
      <c r="G70" s="119">
        <f>SUMIF('Sales After Settlement Time'!A:A,Summary!A70,'Sales After Settlement Time'!C:C)</f>
        <v>0</v>
      </c>
      <c r="H70" s="52"/>
      <c r="I70" s="51">
        <f>IFERROR(VLOOKUP(B70,'5105 Opening'!A:B,2,FALSE),0)</f>
        <v>0</v>
      </c>
      <c r="J70" s="51">
        <f>IFERROR(VLOOKUP(B70,'5105'!A:B,2,FALSE),0)</f>
        <v>-5.9999999999997726</v>
      </c>
      <c r="K70" s="112">
        <f t="shared" si="10"/>
        <v>-5.9999999999997726</v>
      </c>
      <c r="L70" s="112">
        <f t="shared" si="11"/>
        <v>0</v>
      </c>
      <c r="M70" s="112">
        <f t="shared" si="12"/>
        <v>-5.9999999999997726</v>
      </c>
      <c r="N70" s="112">
        <f t="shared" si="13"/>
        <v>0</v>
      </c>
      <c r="O70" s="112">
        <f t="shared" si="14"/>
        <v>-5.9999999999997726</v>
      </c>
      <c r="P70" s="53">
        <f t="shared" si="64"/>
        <v>0</v>
      </c>
      <c r="Q70" s="45" t="str">
        <f t="shared" si="65"/>
        <v>70785105</v>
      </c>
    </row>
    <row r="71" spans="1:18" ht="14.5" x14ac:dyDescent="0.35">
      <c r="A71" s="65">
        <v>7079</v>
      </c>
      <c r="B71" s="57" t="s">
        <v>67</v>
      </c>
      <c r="C71" s="51">
        <f>SUMIFS('Midnight Drawer'!H:H,'Midnight Drawer'!C:C,Summary!A71,'Midnight Drawer'!G:G,"5105")</f>
        <v>0</v>
      </c>
      <c r="D71" s="51">
        <f>SUMIFS('EFTs in MidN drawer'!E:E,'EFTs in MidN drawer'!A:A,Summary!A71,'EFTs in MidN drawer'!H:H,"After Midnight")</f>
        <v>0</v>
      </c>
      <c r="E71" s="51">
        <f>SUMIFS('EFTs in MidN drawer'!E:E,'EFTs in MidN drawer'!A:A,Summary!A71,'EFTs in MidN drawer'!H:H,"Before Bank Cut Off")</f>
        <v>0</v>
      </c>
      <c r="F71" s="112">
        <f>SUMIFS('EFTs in MidN drawer'!E:E,'EFTs in MidN drawer'!A:A,Summary!A71,'EFTs in MidN drawer'!H:H,"In Between")</f>
        <v>0</v>
      </c>
      <c r="G71" s="119">
        <f>SUMIF('Sales After Settlement Time'!A:A,Summary!A71,'Sales After Settlement Time'!C:C)</f>
        <v>0</v>
      </c>
      <c r="H71" s="52"/>
      <c r="I71" s="51">
        <f>IFERROR(VLOOKUP(B71,'5105 Opening'!A:B,2,FALSE),0)</f>
        <v>0</v>
      </c>
      <c r="J71" s="51">
        <f>IFERROR(VLOOKUP(B71,'5105'!A:B,2,FALSE),0)</f>
        <v>0</v>
      </c>
      <c r="K71" s="112">
        <f t="shared" si="10"/>
        <v>0</v>
      </c>
      <c r="L71" s="112">
        <f t="shared" si="11"/>
        <v>0</v>
      </c>
      <c r="M71" s="112">
        <f t="shared" si="12"/>
        <v>0</v>
      </c>
      <c r="N71" s="112">
        <f t="shared" si="13"/>
        <v>0</v>
      </c>
      <c r="O71" s="112">
        <f t="shared" si="14"/>
        <v>0</v>
      </c>
      <c r="P71" s="53">
        <f t="shared" si="64"/>
        <v>0</v>
      </c>
      <c r="Q71" s="45" t="str">
        <f t="shared" si="65"/>
        <v>70795105</v>
      </c>
    </row>
    <row r="72" spans="1:18" ht="14.5" x14ac:dyDescent="0.35">
      <c r="A72" s="65">
        <v>8061</v>
      </c>
      <c r="B72" s="57" t="s">
        <v>68</v>
      </c>
      <c r="C72" s="51">
        <f>SUMIFS('Midnight Drawer'!H:H,'Midnight Drawer'!C:C,Summary!A72,'Midnight Drawer'!G:G,"5105")</f>
        <v>0</v>
      </c>
      <c r="D72" s="51">
        <f>SUMIFS('EFTs in MidN drawer'!E:E,'EFTs in MidN drawer'!A:A,Summary!A72,'EFTs in MidN drawer'!H:H,"After Midnight")</f>
        <v>0</v>
      </c>
      <c r="E72" s="51">
        <f>SUMIFS('EFTs in MidN drawer'!E:E,'EFTs in MidN drawer'!A:A,Summary!A72,'EFTs in MidN drawer'!H:H,"Before Bank Cut Off")</f>
        <v>0</v>
      </c>
      <c r="F72" s="112">
        <f>SUMIFS('EFTs in MidN drawer'!E:E,'EFTs in MidN drawer'!A:A,Summary!A72,'EFTs in MidN drawer'!H:H,"In Between")</f>
        <v>0</v>
      </c>
      <c r="G72" s="119">
        <f>SUMIF('Sales After Settlement Time'!A:A,Summary!A72,'Sales After Settlement Time'!C:C)</f>
        <v>0</v>
      </c>
      <c r="H72" s="52"/>
      <c r="I72" s="51">
        <f>IFERROR(VLOOKUP(B72,'5105 Opening'!A:B,2,FALSE),0)</f>
        <v>0</v>
      </c>
      <c r="J72" s="51">
        <f>IFERROR(VLOOKUP(B72,'5105'!A:B,2,FALSE),0)</f>
        <v>0</v>
      </c>
      <c r="K72" s="112">
        <f t="shared" si="10"/>
        <v>0</v>
      </c>
      <c r="L72" s="112">
        <f t="shared" si="11"/>
        <v>0</v>
      </c>
      <c r="M72" s="112">
        <f t="shared" si="12"/>
        <v>0</v>
      </c>
      <c r="N72" s="112">
        <f t="shared" si="13"/>
        <v>0</v>
      </c>
      <c r="O72" s="112">
        <f>M72-N72</f>
        <v>0</v>
      </c>
      <c r="P72" s="53">
        <f t="shared" si="64"/>
        <v>0</v>
      </c>
      <c r="Q72" s="45" t="str">
        <f t="shared" si="65"/>
        <v>80065105</v>
      </c>
    </row>
    <row r="73" spans="1:18" ht="14.5" x14ac:dyDescent="0.35">
      <c r="A73" s="65">
        <v>8305</v>
      </c>
      <c r="B73" s="89" t="s">
        <v>133</v>
      </c>
      <c r="C73" s="51">
        <f>SUMIFS('Midnight Drawer'!H:H,'Midnight Drawer'!C:C,Summary!A73,'Midnight Drawer'!G:G,"5105")</f>
        <v>0</v>
      </c>
      <c r="D73" s="51">
        <f>SUMIFS('EFTs in MidN drawer'!E:E,'EFTs in MidN drawer'!A:A,Summary!A73,'EFTs in MidN drawer'!H:H,"After Midnight")</f>
        <v>0</v>
      </c>
      <c r="E73" s="51">
        <f>SUMIFS('EFTs in MidN drawer'!E:E,'EFTs in MidN drawer'!A:A,Summary!A73,'EFTs in MidN drawer'!H:H,"Before Bank Cut Off")</f>
        <v>0</v>
      </c>
      <c r="F73" s="112">
        <f>SUMIFS('EFTs in MidN drawer'!E:E,'EFTs in MidN drawer'!A:A,Summary!A73,'EFTs in MidN drawer'!H:H,"In Between")</f>
        <v>0</v>
      </c>
      <c r="G73" s="119">
        <f>SUMIF('Sales After Settlement Time'!A:A,Summary!A73,'Sales After Settlement Time'!C:C)</f>
        <v>0</v>
      </c>
      <c r="H73" s="52"/>
      <c r="I73" s="85">
        <f>IFERROR(VLOOKUP(B73,'5105 Opening'!A:B,2,FALSE),0)</f>
        <v>0</v>
      </c>
      <c r="J73" s="85">
        <f>IFERROR(VLOOKUP("8030 - News Travels AS",'5105'!A:B,2,FALSE),0)</f>
        <v>0</v>
      </c>
      <c r="K73" s="113">
        <f t="shared" si="10"/>
        <v>0</v>
      </c>
      <c r="L73" s="113">
        <f t="shared" si="11"/>
        <v>0</v>
      </c>
      <c r="M73" s="113">
        <f t="shared" si="12"/>
        <v>0</v>
      </c>
      <c r="N73" s="113">
        <f t="shared" si="13"/>
        <v>0</v>
      </c>
      <c r="O73" s="113">
        <f t="shared" si="14"/>
        <v>0</v>
      </c>
      <c r="P73" s="53">
        <f t="shared" si="64"/>
        <v>0</v>
      </c>
      <c r="Q73" s="45" t="str">
        <f t="shared" si="65"/>
        <v>80305105</v>
      </c>
    </row>
    <row r="74" spans="1:18" ht="14.5" x14ac:dyDescent="0.35">
      <c r="A74" s="65">
        <v>8188</v>
      </c>
      <c r="B74" s="57" t="s">
        <v>69</v>
      </c>
      <c r="C74" s="51">
        <f>SUMIFS('Midnight Drawer'!H:H,'Midnight Drawer'!C:C,Summary!A74,'Midnight Drawer'!G:G,"5105")</f>
        <v>14827.150000000001</v>
      </c>
      <c r="D74" s="51">
        <f>SUMIFS('EFTs in MidN drawer'!E:E,'EFTs in MidN drawer'!A:A,Summary!A74,'EFTs in MidN drawer'!H:H,"After Midnight")</f>
        <v>0</v>
      </c>
      <c r="E74" s="51">
        <f>SUMIFS('EFTs in MidN drawer'!E:E,'EFTs in MidN drawer'!A:A,Summary!A74,'EFTs in MidN drawer'!H:H,"Before Bank Cut Off")</f>
        <v>0</v>
      </c>
      <c r="F74" s="112">
        <f>SUMIFS('EFTs in MidN drawer'!E:E,'EFTs in MidN drawer'!A:A,Summary!A74,'EFTs in MidN drawer'!H:H,"In Between")</f>
        <v>0</v>
      </c>
      <c r="G74" s="119">
        <f>SUMIF('Sales After Settlement Time'!A:A,Summary!A74,'Sales After Settlement Time'!C:C)</f>
        <v>418.54</v>
      </c>
      <c r="H74" s="52"/>
      <c r="I74" s="51">
        <f>IFERROR(VLOOKUP(B74,'5105 Opening'!A:B,2,FALSE),0)</f>
        <v>0</v>
      </c>
      <c r="J74" s="51">
        <f>IFERROR(VLOOKUP(B74,'5105'!A:B,2,FALSE),0)</f>
        <v>-13873.29</v>
      </c>
      <c r="K74" s="112">
        <f t="shared" si="0"/>
        <v>-13873.29</v>
      </c>
      <c r="L74" s="112">
        <f t="shared" si="1"/>
        <v>14827.150000000001</v>
      </c>
      <c r="M74" s="112">
        <f t="shared" si="2"/>
        <v>953.86000000000058</v>
      </c>
      <c r="N74" s="112">
        <f t="shared" si="3"/>
        <v>418.54</v>
      </c>
      <c r="O74" s="112">
        <f>M74-N74</f>
        <v>535.32000000000062</v>
      </c>
      <c r="P74" s="53">
        <f t="shared" si="64"/>
        <v>418.54</v>
      </c>
      <c r="Q74" s="45" t="str">
        <f t="shared" si="65"/>
        <v>81885105</v>
      </c>
    </row>
    <row r="75" spans="1:18" ht="14.5" x14ac:dyDescent="0.35">
      <c r="A75" s="65">
        <v>8190</v>
      </c>
      <c r="B75" s="57" t="s">
        <v>70</v>
      </c>
      <c r="C75" s="51">
        <f>SUMIFS('Midnight Drawer'!H:H,'Midnight Drawer'!C:C,Summary!A75,'Midnight Drawer'!G:G,"5105")</f>
        <v>0</v>
      </c>
      <c r="D75" s="51">
        <f>SUMIFS('EFTs in MidN drawer'!E:E,'EFTs in MidN drawer'!A:A,Summary!A75,'EFTs in MidN drawer'!H:H,"After Midnight")</f>
        <v>0</v>
      </c>
      <c r="E75" s="51">
        <f>SUMIFS('EFTs in MidN drawer'!E:E,'EFTs in MidN drawer'!A:A,Summary!A75,'EFTs in MidN drawer'!H:H,"Before Bank Cut Off")</f>
        <v>0</v>
      </c>
      <c r="F75" s="112">
        <f>SUMIFS('EFTs in MidN drawer'!E:E,'EFTs in MidN drawer'!A:A,Summary!A75,'EFTs in MidN drawer'!H:H,"In Between")</f>
        <v>0</v>
      </c>
      <c r="G75" s="119">
        <f>SUMIF('Sales After Settlement Time'!A:A,Summary!A75,'Sales After Settlement Time'!C:C)</f>
        <v>0</v>
      </c>
      <c r="H75" s="52"/>
      <c r="I75" s="51">
        <f>IFERROR(VLOOKUP(B75,'5105 Opening'!A:B,2,FALSE),0)</f>
        <v>0</v>
      </c>
      <c r="J75" s="51">
        <f>IFERROR(VLOOKUP(B75,'5105'!A:B,2,FALSE),0)</f>
        <v>0</v>
      </c>
      <c r="K75" s="112">
        <f t="shared" si="0"/>
        <v>0</v>
      </c>
      <c r="L75" s="112">
        <f t="shared" si="1"/>
        <v>0</v>
      </c>
      <c r="M75" s="112">
        <f t="shared" si="2"/>
        <v>0</v>
      </c>
      <c r="N75" s="112">
        <f t="shared" si="3"/>
        <v>0</v>
      </c>
      <c r="O75" s="112">
        <f t="shared" si="4"/>
        <v>0</v>
      </c>
      <c r="P75" s="53">
        <f t="shared" si="64"/>
        <v>0</v>
      </c>
      <c r="Q75" s="45" t="str">
        <f t="shared" si="65"/>
        <v>81905105</v>
      </c>
    </row>
    <row r="76" spans="1:18" ht="17.25" customHeight="1" x14ac:dyDescent="0.35">
      <c r="A76" s="65">
        <v>8196</v>
      </c>
      <c r="B76" s="84" t="s">
        <v>71</v>
      </c>
      <c r="C76" s="51">
        <f>SUMIFS('Midnight Drawer'!H:H,'Midnight Drawer'!C:C,Summary!A76,'Midnight Drawer'!G:G,"5105")</f>
        <v>0</v>
      </c>
      <c r="D76" s="51">
        <f>SUMIFS('EFTs in MidN drawer'!E:E,'EFTs in MidN drawer'!A:A,Summary!A76,'EFTs in MidN drawer'!H:H,"After Midnight")</f>
        <v>0</v>
      </c>
      <c r="E76" s="51">
        <f>SUMIFS('EFTs in MidN drawer'!E:E,'EFTs in MidN drawer'!A:A,Summary!A76,'EFTs in MidN drawer'!H:H,"Before Bank Cut Off")</f>
        <v>0</v>
      </c>
      <c r="F76" s="112">
        <f>SUMIFS('EFTs in MidN drawer'!E:E,'EFTs in MidN drawer'!A:A,Summary!A76,'EFTs in MidN drawer'!H:H,"In Between")</f>
        <v>0</v>
      </c>
      <c r="G76" s="119">
        <f>SUMIF('Sales After Settlement Time'!A:A,Summary!A76,'Sales After Settlement Time'!C:C)</f>
        <v>0</v>
      </c>
      <c r="H76" s="52"/>
      <c r="I76" s="51">
        <f>IFERROR(VLOOKUP(B76,'5105 Opening'!A:B,2,FALSE),0)</f>
        <v>0</v>
      </c>
      <c r="J76" s="51">
        <f>IFERROR(VLOOKUP(B76,'5105'!A:B,2,FALSE),0)</f>
        <v>0</v>
      </c>
      <c r="K76" s="112">
        <f t="shared" si="0"/>
        <v>0</v>
      </c>
      <c r="L76" s="112">
        <f t="shared" si="1"/>
        <v>0</v>
      </c>
      <c r="M76" s="112">
        <f t="shared" si="2"/>
        <v>0</v>
      </c>
      <c r="N76" s="112">
        <f t="shared" si="3"/>
        <v>0</v>
      </c>
      <c r="O76" s="112">
        <f t="shared" si="4"/>
        <v>0</v>
      </c>
      <c r="P76" s="53">
        <f t="shared" si="64"/>
        <v>0</v>
      </c>
      <c r="Q76" s="45" t="str">
        <f t="shared" si="65"/>
        <v>81965105</v>
      </c>
    </row>
    <row r="77" spans="1:18" ht="17.25" customHeight="1" x14ac:dyDescent="0.35">
      <c r="A77" s="65">
        <v>9998</v>
      </c>
      <c r="B77" s="58" t="s">
        <v>88</v>
      </c>
      <c r="C77" s="51">
        <f>SUMIFS('Midnight Drawer'!H:H,'Midnight Drawer'!C:C,Summary!A77,'Midnight Drawer'!G:G,"5105")</f>
        <v>0</v>
      </c>
      <c r="D77" s="51">
        <f>SUMIFS('EFTs in MidN drawer'!E:E,'EFTs in MidN drawer'!A:A,Summary!A77,'EFTs in MidN drawer'!H:H,"After Midnight")</f>
        <v>0</v>
      </c>
      <c r="E77" s="51">
        <f>SUMIFS('EFTs in MidN drawer'!E:E,'EFTs in MidN drawer'!A:A,Summary!A77,'EFTs in MidN drawer'!H:H,"Before Bank Cut Off")</f>
        <v>0</v>
      </c>
      <c r="F77" s="112">
        <f>SUMIFS('EFTs in MidN drawer'!E:E,'EFTs in MidN drawer'!A:A,Summary!A77,'EFTs in MidN drawer'!H:H,"In Between")</f>
        <v>0</v>
      </c>
      <c r="G77" s="119">
        <f>SUMIF('Sales After Settlement Time'!A:A,Summary!A77,'Sales After Settlement Time'!C:C)</f>
        <v>0</v>
      </c>
      <c r="H77" s="52"/>
      <c r="I77" s="51">
        <f>IFERROR(VLOOKUP(B77,'5105 Opening'!A:B,2,FALSE),0)</f>
        <v>0</v>
      </c>
      <c r="J77" s="51">
        <f>IFERROR(VLOOKUP(B77,'5105'!A:B,2,FALSE),0)</f>
        <v>-44.96</v>
      </c>
      <c r="K77" s="112">
        <f t="shared" si="0"/>
        <v>-44.96</v>
      </c>
      <c r="L77" s="112">
        <f t="shared" si="1"/>
        <v>0</v>
      </c>
      <c r="M77" s="112">
        <f t="shared" si="2"/>
        <v>-44.96</v>
      </c>
      <c r="N77" s="112">
        <f t="shared" si="3"/>
        <v>0</v>
      </c>
      <c r="O77" s="112">
        <f t="shared" si="4"/>
        <v>-44.96</v>
      </c>
      <c r="P77" s="53">
        <f t="shared" si="64"/>
        <v>0</v>
      </c>
      <c r="Q77" s="45" t="str">
        <f t="shared" si="65"/>
        <v>99905105</v>
      </c>
      <c r="R77" s="87" t="s">
        <v>242</v>
      </c>
    </row>
    <row r="78" spans="1:18" ht="14.5" x14ac:dyDescent="0.35">
      <c r="C78" s="120">
        <f>SUM(C3:C77)</f>
        <v>14827.150000000001</v>
      </c>
      <c r="D78" s="120">
        <f>SUM(D3:D77)</f>
        <v>0</v>
      </c>
      <c r="E78" s="120">
        <f>SUM(E3:E77)</f>
        <v>0</v>
      </c>
      <c r="F78" s="120">
        <f>SUM(F3:F77)</f>
        <v>0</v>
      </c>
      <c r="G78" s="120">
        <f>SUM(G3:G77)</f>
        <v>1084.6100000000001</v>
      </c>
      <c r="H78" s="55"/>
      <c r="I78" s="114">
        <f t="shared" ref="I78:P78" si="66">SUM(I3:I77)</f>
        <v>0</v>
      </c>
      <c r="J78" s="54">
        <f t="shared" si="66"/>
        <v>-13792.84</v>
      </c>
      <c r="K78" s="54">
        <f t="shared" si="66"/>
        <v>-13792.84</v>
      </c>
      <c r="L78" s="54">
        <f t="shared" si="66"/>
        <v>14827.150000000001</v>
      </c>
      <c r="M78" s="54">
        <f t="shared" si="66"/>
        <v>1034.3100000000006</v>
      </c>
      <c r="N78" s="54">
        <f t="shared" si="66"/>
        <v>1084.6100000000001</v>
      </c>
      <c r="O78" s="114">
        <f t="shared" si="66"/>
        <v>-50.299999999999237</v>
      </c>
      <c r="P78" s="56">
        <f t="shared" si="66"/>
        <v>418.54</v>
      </c>
    </row>
    <row r="79" spans="1:18" x14ac:dyDescent="0.25">
      <c r="G79" s="52"/>
    </row>
    <row r="80" spans="1:18" x14ac:dyDescent="0.25">
      <c r="F80" s="124" t="s">
        <v>99</v>
      </c>
      <c r="G80" s="124"/>
    </row>
    <row r="81" spans="4:8" x14ac:dyDescent="0.25">
      <c r="D81" s="125" t="s">
        <v>101</v>
      </c>
      <c r="E81" s="125" t="s">
        <v>102</v>
      </c>
      <c r="F81" s="124"/>
      <c r="G81" s="124"/>
    </row>
    <row r="82" spans="4:8" x14ac:dyDescent="0.25">
      <c r="D82" s="125"/>
      <c r="E82" s="125"/>
      <c r="F82" s="124"/>
      <c r="G82" s="124"/>
    </row>
    <row r="83" spans="4:8" x14ac:dyDescent="0.25">
      <c r="D83" s="125"/>
      <c r="E83" s="125"/>
      <c r="F83" s="124"/>
      <c r="G83" s="124"/>
      <c r="H83" s="45" t="s">
        <v>135</v>
      </c>
    </row>
    <row r="84" spans="4:8" x14ac:dyDescent="0.25">
      <c r="D84" s="125"/>
      <c r="E84" s="125"/>
      <c r="F84" s="124"/>
      <c r="G84" s="124"/>
    </row>
    <row r="85" spans="4:8" x14ac:dyDescent="0.25">
      <c r="D85" s="125"/>
      <c r="E85" s="125"/>
      <c r="F85" s="124"/>
      <c r="G85" s="124"/>
    </row>
  </sheetData>
  <mergeCells count="3">
    <mergeCell ref="F80:G85"/>
    <mergeCell ref="D81:D85"/>
    <mergeCell ref="E81:E85"/>
  </mergeCells>
  <pageMargins left="0.25" right="0.25" top="0.75" bottom="0.75" header="0.3" footer="0.3"/>
  <pageSetup paperSize="9" scale="40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pageSetUpPr fitToPage="1"/>
  </sheetPr>
  <dimension ref="B1:V51"/>
  <sheetViews>
    <sheetView tabSelected="1" zoomScaleNormal="100" workbookViewId="0">
      <selection activeCell="C33" sqref="C33"/>
    </sheetView>
  </sheetViews>
  <sheetFormatPr defaultRowHeight="12.5" x14ac:dyDescent="0.25"/>
  <cols>
    <col min="1" max="1" width="4.6328125" customWidth="1"/>
    <col min="5" max="5" width="12.6328125" customWidth="1"/>
    <col min="6" max="6" width="13.81640625" bestFit="1" customWidth="1"/>
    <col min="7" max="7" width="13.81640625" customWidth="1"/>
    <col min="8" max="8" width="13.6328125" customWidth="1"/>
    <col min="10" max="10" width="15.36328125" bestFit="1" customWidth="1"/>
    <col min="13" max="13" width="10.36328125" bestFit="1" customWidth="1"/>
    <col min="20" max="20" width="10.6328125" bestFit="1" customWidth="1"/>
    <col min="22" max="22" width="9.08984375" style="26"/>
  </cols>
  <sheetData>
    <row r="1" spans="2:22" ht="14.25" customHeight="1" x14ac:dyDescent="0.25">
      <c r="B1" s="2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4"/>
    </row>
    <row r="2" spans="2:22" ht="14.25" customHeight="1" x14ac:dyDescent="0.25"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7"/>
    </row>
    <row r="3" spans="2:22" ht="14.25" customHeight="1" x14ac:dyDescent="0.25">
      <c r="B3" s="5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7"/>
    </row>
    <row r="4" spans="2:22" x14ac:dyDescent="0.25">
      <c r="B4" s="5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7"/>
    </row>
    <row r="5" spans="2:22" x14ac:dyDescent="0.25">
      <c r="B5" s="5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7"/>
    </row>
    <row r="6" spans="2:22" ht="13" x14ac:dyDescent="0.3">
      <c r="B6" s="5"/>
      <c r="C6" s="8" t="s">
        <v>2</v>
      </c>
      <c r="D6" s="3"/>
      <c r="E6" s="3"/>
      <c r="F6" s="3"/>
      <c r="G6" s="9">
        <v>5105</v>
      </c>
      <c r="H6" s="10"/>
      <c r="I6" s="6"/>
      <c r="J6" s="6"/>
      <c r="K6" s="8" t="s">
        <v>3</v>
      </c>
      <c r="L6" s="11"/>
      <c r="M6" s="12" t="str">
        <f>EoMDate</f>
        <v>2021-05-31</v>
      </c>
      <c r="N6" s="11"/>
      <c r="O6" s="13"/>
      <c r="P6" s="3"/>
      <c r="Q6" s="12"/>
      <c r="R6" s="13"/>
      <c r="S6" s="3"/>
      <c r="T6" s="12"/>
      <c r="U6" s="10"/>
      <c r="V6" s="7"/>
    </row>
    <row r="7" spans="2:22" ht="13" x14ac:dyDescent="0.3">
      <c r="B7" s="5"/>
      <c r="C7" s="14" t="s">
        <v>1</v>
      </c>
      <c r="D7" s="15"/>
      <c r="E7" s="15"/>
      <c r="F7" s="15"/>
      <c r="G7" s="16" t="s">
        <v>72</v>
      </c>
      <c r="H7" s="17"/>
      <c r="I7" s="6"/>
      <c r="J7" s="6"/>
      <c r="K7" s="18"/>
      <c r="L7" s="19"/>
      <c r="M7" s="19"/>
      <c r="N7" s="19"/>
      <c r="O7" s="15"/>
      <c r="P7" s="15"/>
      <c r="Q7" s="15"/>
      <c r="R7" s="15"/>
      <c r="S7" s="15"/>
      <c r="T7" s="15"/>
      <c r="U7" s="17"/>
      <c r="V7" s="7"/>
    </row>
    <row r="8" spans="2:22" x14ac:dyDescent="0.25">
      <c r="B8" s="5"/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7"/>
    </row>
    <row r="9" spans="2:22" x14ac:dyDescent="0.25">
      <c r="B9" s="5"/>
      <c r="C9" s="6"/>
      <c r="D9" s="6"/>
      <c r="E9" s="6"/>
      <c r="F9" s="6"/>
      <c r="G9" s="20" t="s">
        <v>10</v>
      </c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7"/>
    </row>
    <row r="10" spans="2:22" x14ac:dyDescent="0.25">
      <c r="B10" s="5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7"/>
    </row>
    <row r="11" spans="2:22" x14ac:dyDescent="0.25">
      <c r="B11" s="5"/>
      <c r="C11" s="6" t="s">
        <v>6</v>
      </c>
      <c r="D11" s="6"/>
      <c r="E11" s="6"/>
      <c r="F11" s="6"/>
      <c r="G11" s="40">
        <f>Summary!K78</f>
        <v>-13792.84</v>
      </c>
      <c r="H11" s="47"/>
      <c r="I11" s="47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7"/>
    </row>
    <row r="12" spans="2:22" x14ac:dyDescent="0.25">
      <c r="B12" s="5"/>
      <c r="C12" s="6"/>
      <c r="D12" s="6"/>
      <c r="E12" s="6"/>
      <c r="F12" s="6"/>
      <c r="G12" s="21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7"/>
    </row>
    <row r="13" spans="2:22" ht="13" x14ac:dyDescent="0.3">
      <c r="B13" s="5"/>
      <c r="C13" s="6"/>
      <c r="D13" s="6"/>
      <c r="E13" s="6"/>
      <c r="F13" s="6"/>
      <c r="G13" s="21"/>
      <c r="H13" s="6"/>
      <c r="I13" s="6"/>
      <c r="J13" s="6"/>
      <c r="K13" s="22" t="s">
        <v>4</v>
      </c>
      <c r="L13" s="3"/>
      <c r="M13" s="3"/>
      <c r="N13" s="3"/>
      <c r="O13" s="3"/>
      <c r="P13" s="3"/>
      <c r="Q13" s="3"/>
      <c r="R13" s="3"/>
      <c r="S13" s="3"/>
      <c r="T13" s="3"/>
      <c r="U13" s="10"/>
      <c r="V13" s="7"/>
    </row>
    <row r="14" spans="2:22" x14ac:dyDescent="0.25">
      <c r="B14" s="5"/>
      <c r="C14" s="41" t="s">
        <v>7</v>
      </c>
      <c r="D14" s="41"/>
      <c r="E14" s="41" t="s">
        <v>19</v>
      </c>
      <c r="F14" s="41"/>
      <c r="G14" s="43">
        <f>-Summary!L78+Summary!N78</f>
        <v>-13742.54</v>
      </c>
      <c r="H14" s="6"/>
      <c r="I14" s="6"/>
      <c r="J14" s="6"/>
      <c r="K14" s="5"/>
      <c r="L14" s="6"/>
      <c r="M14" s="6"/>
      <c r="N14" s="6"/>
      <c r="O14" s="6"/>
      <c r="P14" s="6"/>
      <c r="Q14" s="6"/>
      <c r="R14" s="6"/>
      <c r="S14" s="6"/>
      <c r="T14" s="6"/>
      <c r="U14" s="24"/>
      <c r="V14" s="7"/>
    </row>
    <row r="15" spans="2:22" x14ac:dyDescent="0.25">
      <c r="B15" s="5"/>
      <c r="C15" s="41"/>
      <c r="D15" s="41"/>
      <c r="E15" s="41"/>
      <c r="F15" s="41"/>
      <c r="G15" s="42"/>
      <c r="H15" s="6"/>
      <c r="I15" s="6"/>
      <c r="J15" s="6"/>
      <c r="K15" s="5" t="s">
        <v>20</v>
      </c>
      <c r="L15" s="6"/>
      <c r="M15" s="6"/>
      <c r="N15" s="6"/>
      <c r="O15" s="6"/>
      <c r="P15" s="6"/>
      <c r="Q15" s="6"/>
      <c r="R15" s="6"/>
      <c r="S15" s="6"/>
      <c r="T15" s="6"/>
      <c r="U15" s="24"/>
      <c r="V15" s="7"/>
    </row>
    <row r="16" spans="2:22" x14ac:dyDescent="0.25">
      <c r="B16" s="5"/>
      <c r="C16" s="41"/>
      <c r="D16" s="41"/>
      <c r="E16" s="41"/>
      <c r="F16" s="41"/>
      <c r="G16" s="42"/>
      <c r="H16" s="6"/>
      <c r="I16" s="6"/>
      <c r="J16" s="6"/>
      <c r="K16" s="5"/>
      <c r="L16" s="6"/>
      <c r="M16" s="6"/>
      <c r="N16" s="6"/>
      <c r="O16" s="6"/>
      <c r="P16" s="6"/>
      <c r="Q16" s="6"/>
      <c r="R16" s="6"/>
      <c r="S16" s="6"/>
      <c r="T16" s="6"/>
      <c r="U16" s="24"/>
      <c r="V16" s="7"/>
    </row>
    <row r="17" spans="2:22" x14ac:dyDescent="0.25">
      <c r="B17" s="5"/>
      <c r="C17" s="41" t="s">
        <v>8</v>
      </c>
      <c r="D17" s="41"/>
      <c r="E17" s="41"/>
      <c r="F17" s="41"/>
      <c r="G17" s="42">
        <f>G11-G14</f>
        <v>-50.299999999999272</v>
      </c>
      <c r="H17" s="6"/>
      <c r="I17" s="6"/>
      <c r="J17" s="6"/>
      <c r="K17" s="25"/>
      <c r="L17" s="15"/>
      <c r="M17" s="15"/>
      <c r="N17" s="15"/>
      <c r="O17" s="15"/>
      <c r="P17" s="15"/>
      <c r="Q17" s="15"/>
      <c r="R17" s="15"/>
      <c r="S17" s="15"/>
      <c r="T17" s="15"/>
      <c r="U17" s="17"/>
      <c r="V17" s="7"/>
    </row>
    <row r="18" spans="2:22" x14ac:dyDescent="0.25">
      <c r="B18" s="5"/>
      <c r="C18" s="41"/>
      <c r="D18" s="41"/>
      <c r="E18" s="41"/>
      <c r="F18" s="41"/>
      <c r="G18" s="42"/>
      <c r="H18" s="6"/>
      <c r="I18" s="6"/>
      <c r="J18" s="6"/>
      <c r="K18" s="26"/>
      <c r="L18" s="26"/>
      <c r="M18" s="26"/>
      <c r="N18" s="26"/>
      <c r="O18" s="26"/>
      <c r="P18" s="26"/>
      <c r="Q18" s="26"/>
      <c r="R18" s="26"/>
      <c r="S18" s="6"/>
      <c r="T18" s="6"/>
      <c r="U18" s="6"/>
      <c r="V18" s="7"/>
    </row>
    <row r="19" spans="2:22" s="27" customFormat="1" ht="13" x14ac:dyDescent="0.3">
      <c r="B19" s="28"/>
      <c r="C19" s="29" t="s">
        <v>9</v>
      </c>
      <c r="D19" s="29"/>
      <c r="E19" s="29"/>
      <c r="F19" s="29"/>
      <c r="G19" s="30"/>
      <c r="H19" s="29"/>
      <c r="I19" s="29"/>
      <c r="J19" s="29"/>
      <c r="K19" s="29"/>
      <c r="L19" s="29"/>
      <c r="M19" s="29"/>
      <c r="N19" s="29"/>
      <c r="O19" s="29"/>
      <c r="P19" s="29"/>
      <c r="Q19" s="29"/>
      <c r="R19" s="29"/>
      <c r="S19" s="29"/>
      <c r="T19" s="29"/>
      <c r="U19" s="29"/>
      <c r="V19" s="31"/>
    </row>
    <row r="20" spans="2:22" x14ac:dyDescent="0.25">
      <c r="B20" s="5"/>
      <c r="C20" s="41"/>
      <c r="D20" s="41"/>
      <c r="E20" s="41"/>
      <c r="F20" s="41"/>
      <c r="G20" s="42"/>
      <c r="H20" s="6"/>
      <c r="I20" s="6"/>
      <c r="J20" s="6"/>
      <c r="K20" s="26"/>
      <c r="L20" s="26"/>
      <c r="M20" s="26"/>
      <c r="N20" s="26"/>
      <c r="O20" s="26"/>
      <c r="P20" s="26"/>
      <c r="Q20" s="26"/>
      <c r="R20" s="26"/>
      <c r="S20" s="6"/>
      <c r="T20" s="6"/>
      <c r="U20" s="6"/>
      <c r="V20" s="7"/>
    </row>
    <row r="21" spans="2:22" ht="31.5" customHeight="1" x14ac:dyDescent="0.25">
      <c r="B21" s="5"/>
      <c r="C21" s="41" t="s">
        <v>111</v>
      </c>
      <c r="G21" s="122">
        <f>Summary!O78</f>
        <v>-50.299999999999237</v>
      </c>
      <c r="H21" s="6"/>
      <c r="I21" s="6"/>
      <c r="J21" s="6"/>
      <c r="K21" s="26"/>
      <c r="L21" s="26"/>
      <c r="M21" s="26"/>
      <c r="N21" s="26"/>
      <c r="O21" s="26"/>
      <c r="P21" s="26"/>
      <c r="Q21" s="26"/>
      <c r="R21" s="26"/>
      <c r="S21" s="6"/>
      <c r="T21" s="6"/>
      <c r="U21" s="6"/>
      <c r="V21" s="7"/>
    </row>
    <row r="22" spans="2:22" ht="24" customHeight="1" x14ac:dyDescent="0.25">
      <c r="B22" s="5"/>
      <c r="C22" s="126"/>
      <c r="D22" s="126"/>
      <c r="E22" s="126"/>
      <c r="F22" s="126"/>
      <c r="G22" s="42"/>
      <c r="H22" s="6"/>
      <c r="I22" s="6"/>
      <c r="J22" s="6"/>
      <c r="K22" s="26"/>
      <c r="L22" s="26"/>
      <c r="M22" s="26"/>
      <c r="N22" s="26"/>
      <c r="O22" s="26"/>
      <c r="P22" s="26"/>
      <c r="Q22" s="26"/>
      <c r="R22" s="26"/>
      <c r="S22" s="6"/>
      <c r="T22" s="6"/>
      <c r="U22" s="6"/>
      <c r="V22" s="7"/>
    </row>
    <row r="23" spans="2:22" ht="13" x14ac:dyDescent="0.3">
      <c r="B23" s="5"/>
      <c r="C23" s="6"/>
      <c r="D23" s="6"/>
      <c r="E23" s="6"/>
      <c r="F23" s="6"/>
      <c r="G23" s="21"/>
      <c r="H23" s="6"/>
      <c r="I23" s="6"/>
      <c r="J23" s="6"/>
      <c r="K23" s="22" t="s">
        <v>5</v>
      </c>
      <c r="L23" s="11"/>
      <c r="M23" s="11"/>
      <c r="N23" s="11"/>
      <c r="O23" s="11"/>
      <c r="P23" s="11"/>
      <c r="Q23" s="11"/>
      <c r="R23" s="11"/>
      <c r="S23" s="3"/>
      <c r="T23" s="3"/>
      <c r="U23" s="10"/>
      <c r="V23" s="7"/>
    </row>
    <row r="24" spans="2:22" x14ac:dyDescent="0.25">
      <c r="B24" s="5"/>
      <c r="C24" s="6" t="s">
        <v>18</v>
      </c>
      <c r="D24" s="6"/>
      <c r="E24" s="6"/>
      <c r="F24" s="6"/>
      <c r="G24" s="23">
        <f>SUM(G21:G23)</f>
        <v>-50.299999999999237</v>
      </c>
      <c r="H24" s="6"/>
      <c r="I24" s="6"/>
      <c r="J24" s="6"/>
      <c r="K24" s="32"/>
      <c r="L24" s="26"/>
      <c r="M24" s="26"/>
      <c r="N24" s="26"/>
      <c r="O24" s="26"/>
      <c r="P24" s="26"/>
      <c r="Q24" s="26"/>
      <c r="R24" s="26"/>
      <c r="S24" s="6"/>
      <c r="T24" s="6"/>
      <c r="U24" s="24"/>
      <c r="V24" s="7"/>
    </row>
    <row r="25" spans="2:22" x14ac:dyDescent="0.25">
      <c r="B25" s="5"/>
      <c r="C25" s="6"/>
      <c r="D25" s="6"/>
      <c r="E25" s="6"/>
      <c r="F25" s="6"/>
      <c r="G25" s="6"/>
      <c r="H25" s="6"/>
      <c r="I25" s="6"/>
      <c r="J25" s="6"/>
      <c r="K25" s="5" t="s">
        <v>21</v>
      </c>
      <c r="L25" s="6"/>
      <c r="M25" s="6"/>
      <c r="N25" s="6"/>
      <c r="O25" s="6"/>
      <c r="P25" s="6"/>
      <c r="Q25" s="6"/>
      <c r="R25" s="6"/>
      <c r="S25" s="6"/>
      <c r="T25" s="6"/>
      <c r="U25" s="24"/>
      <c r="V25" s="7"/>
    </row>
    <row r="26" spans="2:22" ht="13" x14ac:dyDescent="0.3">
      <c r="B26" s="5"/>
      <c r="C26" s="33" t="s">
        <v>8</v>
      </c>
      <c r="D26" s="3"/>
      <c r="E26" s="3"/>
      <c r="F26" s="3"/>
      <c r="G26" s="3"/>
      <c r="H26" s="10"/>
      <c r="I26" s="6"/>
      <c r="J26" s="6"/>
      <c r="K26" s="34"/>
      <c r="L26" s="6"/>
      <c r="M26" s="6"/>
      <c r="N26" s="6"/>
      <c r="O26" s="6"/>
      <c r="P26" s="6"/>
      <c r="Q26" s="6"/>
      <c r="R26" s="6"/>
      <c r="S26" s="6"/>
      <c r="T26" s="6"/>
      <c r="U26" s="24"/>
      <c r="V26" s="7"/>
    </row>
    <row r="27" spans="2:22" ht="13" x14ac:dyDescent="0.3">
      <c r="B27" s="5"/>
      <c r="C27" s="35" t="s">
        <v>16</v>
      </c>
      <c r="D27" s="36"/>
      <c r="E27" s="36"/>
      <c r="F27" s="36" t="s">
        <v>11</v>
      </c>
      <c r="G27" s="36" t="s">
        <v>17</v>
      </c>
      <c r="H27" s="24"/>
      <c r="I27" s="6"/>
      <c r="J27" s="6"/>
      <c r="K27" s="5"/>
      <c r="L27" s="6"/>
      <c r="M27" s="6"/>
      <c r="N27" s="6"/>
      <c r="O27" s="6"/>
      <c r="P27" s="6"/>
      <c r="Q27" s="6"/>
      <c r="R27" s="6"/>
      <c r="S27" s="6"/>
      <c r="T27" s="6"/>
      <c r="U27" s="24"/>
      <c r="V27" s="7"/>
    </row>
    <row r="28" spans="2:22" x14ac:dyDescent="0.25">
      <c r="B28" s="5"/>
      <c r="C28" s="34"/>
      <c r="D28" s="6"/>
      <c r="E28" s="6"/>
      <c r="F28" s="6"/>
      <c r="G28" s="6"/>
      <c r="H28" s="24"/>
      <c r="I28" s="6"/>
      <c r="J28" s="6"/>
      <c r="K28" s="5"/>
      <c r="L28" s="6"/>
      <c r="M28" s="6"/>
      <c r="N28" s="6"/>
      <c r="O28" s="6"/>
      <c r="P28" s="6"/>
      <c r="Q28" s="6"/>
      <c r="R28" s="6"/>
      <c r="S28" s="6"/>
      <c r="T28" s="6"/>
      <c r="U28" s="24"/>
      <c r="V28" s="7"/>
    </row>
    <row r="29" spans="2:22" x14ac:dyDescent="0.25">
      <c r="B29" s="5"/>
      <c r="C29" s="34"/>
      <c r="D29" s="6"/>
      <c r="E29" s="6"/>
      <c r="F29" s="6"/>
      <c r="G29" s="6"/>
      <c r="H29" s="24"/>
      <c r="I29" s="6"/>
      <c r="J29" s="6"/>
      <c r="K29" s="25"/>
      <c r="L29" s="15"/>
      <c r="M29" s="15"/>
      <c r="N29" s="15"/>
      <c r="O29" s="15"/>
      <c r="P29" s="15"/>
      <c r="Q29" s="15"/>
      <c r="R29" s="15"/>
      <c r="S29" s="15"/>
      <c r="T29" s="15"/>
      <c r="U29" s="17"/>
      <c r="V29" s="7"/>
    </row>
    <row r="30" spans="2:22" x14ac:dyDescent="0.25">
      <c r="B30" s="5"/>
      <c r="C30" s="25"/>
      <c r="D30" s="15"/>
      <c r="E30" s="15"/>
      <c r="F30" s="15"/>
      <c r="G30" s="15"/>
      <c r="H30" s="17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7"/>
    </row>
    <row r="31" spans="2:22" x14ac:dyDescent="0.25">
      <c r="B31" s="5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7"/>
    </row>
    <row r="32" spans="2:22" x14ac:dyDescent="0.25">
      <c r="B32" s="5"/>
      <c r="C32" s="6"/>
      <c r="D32" s="6"/>
      <c r="E32" s="6"/>
      <c r="F32" s="15"/>
      <c r="G32" s="15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7"/>
    </row>
    <row r="33" spans="2:22" x14ac:dyDescent="0.25">
      <c r="B33" s="5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7"/>
    </row>
    <row r="34" spans="2:22" x14ac:dyDescent="0.25">
      <c r="B34" s="5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7"/>
    </row>
    <row r="35" spans="2:22" ht="13" x14ac:dyDescent="0.3">
      <c r="B35" s="5"/>
      <c r="C35" s="33" t="s">
        <v>12</v>
      </c>
      <c r="D35" s="3"/>
      <c r="E35" s="3"/>
      <c r="F35" s="3"/>
      <c r="G35" s="3"/>
      <c r="H35" s="3"/>
      <c r="I35" s="10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7"/>
    </row>
    <row r="36" spans="2:22" x14ac:dyDescent="0.25">
      <c r="B36" s="5"/>
      <c r="C36" s="5"/>
      <c r="D36" s="6"/>
      <c r="E36" s="6"/>
      <c r="F36" s="6"/>
      <c r="G36" s="6"/>
      <c r="H36" s="6"/>
      <c r="I36" s="24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7"/>
    </row>
    <row r="37" spans="2:22" x14ac:dyDescent="0.25">
      <c r="B37" s="5"/>
      <c r="C37" s="5"/>
      <c r="D37" s="6"/>
      <c r="E37" s="6"/>
      <c r="F37" s="6"/>
      <c r="G37" s="6"/>
      <c r="H37" s="6"/>
      <c r="I37" s="24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7"/>
    </row>
    <row r="38" spans="2:22" x14ac:dyDescent="0.25">
      <c r="B38" s="5"/>
      <c r="C38" s="5"/>
      <c r="D38" s="6"/>
      <c r="E38" s="6"/>
      <c r="F38" s="6"/>
      <c r="G38" s="6"/>
      <c r="H38" s="6"/>
      <c r="I38" s="24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7"/>
    </row>
    <row r="39" spans="2:22" x14ac:dyDescent="0.25">
      <c r="B39" s="5"/>
      <c r="C39" s="25"/>
      <c r="D39" s="15"/>
      <c r="E39" s="15"/>
      <c r="F39" s="15"/>
      <c r="G39" s="15"/>
      <c r="H39" s="15"/>
      <c r="I39" s="17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7"/>
    </row>
    <row r="40" spans="2:22" x14ac:dyDescent="0.25">
      <c r="B40" s="5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7"/>
    </row>
    <row r="41" spans="2:22" x14ac:dyDescent="0.25">
      <c r="B41" s="5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7"/>
    </row>
    <row r="42" spans="2:22" ht="13" x14ac:dyDescent="0.3">
      <c r="B42" s="5"/>
      <c r="C42" s="37" t="s">
        <v>13</v>
      </c>
      <c r="D42" s="6"/>
      <c r="E42" s="6"/>
      <c r="F42" s="15" t="s">
        <v>112</v>
      </c>
      <c r="G42" s="15"/>
      <c r="H42" s="6"/>
      <c r="I42" s="37" t="s">
        <v>14</v>
      </c>
      <c r="J42" s="38">
        <f ca="1">NOW()</f>
        <v>44368.575200347223</v>
      </c>
      <c r="K42" s="15"/>
      <c r="L42" s="37"/>
      <c r="M42" s="37" t="s">
        <v>15</v>
      </c>
      <c r="N42" s="6"/>
      <c r="O42" s="15"/>
      <c r="P42" s="15"/>
      <c r="Q42" s="15"/>
      <c r="R42" s="6"/>
      <c r="S42" s="6"/>
      <c r="T42" s="6"/>
      <c r="U42" s="6"/>
      <c r="V42" s="7"/>
    </row>
    <row r="43" spans="2:22" x14ac:dyDescent="0.25">
      <c r="B43" s="5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7"/>
    </row>
    <row r="44" spans="2:22" x14ac:dyDescent="0.25">
      <c r="B44" s="25"/>
      <c r="C44" s="15"/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39"/>
    </row>
    <row r="51" spans="5:16" x14ac:dyDescent="0.25"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</row>
  </sheetData>
  <mergeCells count="1">
    <mergeCell ref="C22:F22"/>
  </mergeCells>
  <phoneticPr fontId="69" type="noConversion"/>
  <pageMargins left="0.75" right="0.75" top="1" bottom="1" header="0.5" footer="0.5"/>
  <pageSetup paperSize="9" scale="58" orientation="landscape" r:id="rId1"/>
  <headerFooter alignWithMargins="0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413BC2E-1A6F-48DD-89C3-554E4C7E242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33</vt:i4>
      </vt:variant>
    </vt:vector>
  </HeadingPairs>
  <TitlesOfParts>
    <vt:vector size="40" baseType="lpstr">
      <vt:lpstr>5105 Opening</vt:lpstr>
      <vt:lpstr>5105</vt:lpstr>
      <vt:lpstr>Sales After Settlement Time</vt:lpstr>
      <vt:lpstr>EFTs in MidN drawer</vt:lpstr>
      <vt:lpstr>Midnight Drawer</vt:lpstr>
      <vt:lpstr>Summary</vt:lpstr>
      <vt:lpstr>Rec</vt:lpstr>
      <vt:lpstr>EoMDate</vt:lpstr>
      <vt:lpstr>EstTime</vt:lpstr>
      <vt:lpstr>'Sales After Settlement Time'!Fetch_Sales_After_Bank_Settlement_Time</vt:lpstr>
      <vt:lpstr>'Sales After Settlement Time'!Fetch_Sales_After_Bank_Settlement_Time_1</vt:lpstr>
      <vt:lpstr>'Sales After Settlement Time'!Fetch_Sales_After_Bank_Settlement_Time_2</vt:lpstr>
      <vt:lpstr>'Sales After Settlement Time'!Fetch_Sales_After_Bank_Settlement_Time_3</vt:lpstr>
      <vt:lpstr>'Sales After Settlement Time'!Fetch_Sales_After_Bank_Settlement_Time_4</vt:lpstr>
      <vt:lpstr>'Sales After Settlement Time'!Fetch_Sales_After_Bank_Settlement_Time_5</vt:lpstr>
      <vt:lpstr>'Sales After Settlement Time'!Fetch_Sales_After_Bank_Settlement_Time_6</vt:lpstr>
      <vt:lpstr>'Sales After Settlement Time'!Fetch_Sales_After_Bank_Settlement_Time_7</vt:lpstr>
      <vt:lpstr>'EFTs in MidN drawer'!Fetch_Sales_in_midnight_drawers</vt:lpstr>
      <vt:lpstr>'EFTs in MidN drawer'!Fetch_Sales_in_midnight_drawers_1</vt:lpstr>
      <vt:lpstr>'EFTs in MidN drawer'!Fetch_Sales_in_midnight_drawers_2</vt:lpstr>
      <vt:lpstr>'EFTs in MidN drawer'!Fetch_Sales_in_midnight_drawers_3</vt:lpstr>
      <vt:lpstr>'EFTs in MidN drawer'!Fetch_Sales_in_midnight_drawers_4</vt:lpstr>
      <vt:lpstr>'EFTs in MidN drawer'!Fetch_Sales_in_midnight_drawers_5</vt:lpstr>
      <vt:lpstr>'EFTs in MidN drawer'!Fetch_Sales_in_midnight_drawers_6</vt:lpstr>
      <vt:lpstr>'EFTs in MidN drawer'!Fetch_Sales_in_midnight_drawers_7</vt:lpstr>
      <vt:lpstr>'EFTs in MidN drawer'!Fetch_Sales_in_midnight_drawers_8</vt:lpstr>
      <vt:lpstr>'EFTs in MidN drawer'!Fetch_Sales_in_midnight_drawers_9</vt:lpstr>
      <vt:lpstr>MidnightDate</vt:lpstr>
      <vt:lpstr>NTTime</vt:lpstr>
      <vt:lpstr>Summary!Print_Area</vt:lpstr>
      <vt:lpstr>QLDTime</vt:lpstr>
      <vt:lpstr>SATime</vt:lpstr>
      <vt:lpstr>'EFTs in MidN drawer'!Show_Midnight_Drawer</vt:lpstr>
      <vt:lpstr>'Midnight Drawer'!Show_Midnight_Drawer</vt:lpstr>
      <vt:lpstr>'Midnight Drawer'!Show_Midnight_Drawer_1</vt:lpstr>
      <vt:lpstr>'Midnight Drawer'!Show_Midnight_Drawer_2</vt:lpstr>
      <vt:lpstr>'Midnight Drawer'!Show_Midnight_Drawer_3</vt:lpstr>
      <vt:lpstr>'Midnight Drawer'!Show_Midnight_Drawer_4</vt:lpstr>
      <vt:lpstr>'Midnight Drawer'!Show_Midnight_Drawer_5</vt:lpstr>
      <vt:lpstr>WATime</vt:lpstr>
    </vt:vector>
  </TitlesOfParts>
  <Company>AWPL Retail Solutions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</dc:creator>
  <cp:lastModifiedBy>Susan Hunt</cp:lastModifiedBy>
  <cp:lastPrinted>2019-11-13T05:43:32Z</cp:lastPrinted>
  <dcterms:created xsi:type="dcterms:W3CDTF">2010-03-28T22:58:50Z</dcterms:created>
  <dcterms:modified xsi:type="dcterms:W3CDTF">2021-06-21T03:48:25Z</dcterms:modified>
</cp:coreProperties>
</file>