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G:\Finance Team\BANK\NZ Manual Bank Recs\NZ Bank Manual 2021 - 2022\"/>
    </mc:Choice>
  </mc:AlternateContent>
  <xr:revisionPtr revIDLastSave="0" documentId="13_ncr:1_{E9B0B072-9F1D-433A-B29D-AD3E1E12321B}" xr6:coauthVersionLast="45" xr6:coauthVersionMax="47" xr10:uidLastSave="{00000000-0000-0000-0000-000000000000}"/>
  <bookViews>
    <workbookView xWindow="-120" yWindow="-120" windowWidth="24240" windowHeight="13140" xr2:uid="{00000000-000D-0000-FFFF-FFFF00000000}"/>
  </bookViews>
  <sheets>
    <sheet name="13Jul" sheetId="631" r:id="rId1"/>
    <sheet name="9Jul" sheetId="630" r:id="rId2"/>
    <sheet name="30Jun" sheetId="629" r:id="rId3"/>
  </sheets>
  <definedNames>
    <definedName name="_xlnm.Print_Area" localSheetId="0">'13Jul'!$A$1:$H$53</definedName>
    <definedName name="_xlnm.Print_Area" localSheetId="2">'30Jun'!$A$1:$H$53</definedName>
    <definedName name="_xlnm.Print_Area" localSheetId="1">'9Jul'!$A$1:$H$53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40" i="631" l="1"/>
  <c r="B27" i="631"/>
  <c r="D29" i="631" s="1"/>
  <c r="D42" i="631" s="1"/>
  <c r="G19" i="631"/>
  <c r="G18" i="631"/>
  <c r="D51" i="631" l="1"/>
  <c r="K42" i="631"/>
  <c r="L42" i="631" s="1"/>
  <c r="E27" i="631"/>
  <c r="B40" i="630"/>
  <c r="B27" i="630"/>
  <c r="D29" i="630" s="1"/>
  <c r="G19" i="630"/>
  <c r="G18" i="630"/>
  <c r="D42" i="630" l="1"/>
  <c r="D51" i="630" s="1"/>
  <c r="E27" i="630"/>
  <c r="B40" i="629"/>
  <c r="B27" i="629"/>
  <c r="E27" i="629" s="1"/>
  <c r="G18" i="629"/>
  <c r="G19" i="629" s="1"/>
  <c r="K42" i="630" l="1"/>
  <c r="L42" i="630" s="1"/>
  <c r="D29" i="629"/>
  <c r="D42" i="629" s="1"/>
  <c r="D51" i="629" s="1"/>
  <c r="K42" i="629" l="1"/>
  <c r="L42" i="629" s="1"/>
</calcChain>
</file>

<file path=xl/sharedStrings.xml><?xml version="1.0" encoding="utf-8"?>
<sst xmlns="http://schemas.openxmlformats.org/spreadsheetml/2006/main" count="94" uniqueCount="39">
  <si>
    <t>NEW ZEALAND</t>
  </si>
  <si>
    <t>Debit</t>
  </si>
  <si>
    <t>Credit</t>
  </si>
  <si>
    <t>Balance</t>
  </si>
  <si>
    <t>change figure to last day's cash book close balance</t>
  </si>
  <si>
    <t>.</t>
  </si>
  <si>
    <t>Plus Deposits:</t>
  </si>
  <si>
    <t>Deposit</t>
  </si>
  <si>
    <t>enter total deposits</t>
  </si>
  <si>
    <t>AR receipt</t>
  </si>
  <si>
    <t>Less Payments</t>
  </si>
  <si>
    <t>enter total payments</t>
  </si>
  <si>
    <t>Bank Guarantee Fee</t>
  </si>
  <si>
    <t>Bank Charge</t>
  </si>
  <si>
    <t>EFT</t>
  </si>
  <si>
    <t>EFTPOS Rental</t>
  </si>
  <si>
    <t>Amex Fee</t>
  </si>
  <si>
    <t>Total</t>
  </si>
  <si>
    <t>will auto populate</t>
  </si>
  <si>
    <t>Less Payments to be posted on GL</t>
  </si>
  <si>
    <t>Total Payments</t>
  </si>
  <si>
    <t xml:space="preserve">Difference = </t>
  </si>
  <si>
    <t xml:space="preserve">                                                                                                                                                </t>
  </si>
  <si>
    <t>GST Refund</t>
  </si>
  <si>
    <t>IRD Refund</t>
  </si>
  <si>
    <t>Payroll</t>
  </si>
  <si>
    <t>30/6/2021</t>
  </si>
  <si>
    <t>Cash Book Balance as at 30/6/2021</t>
  </si>
  <si>
    <t>Adjusted Cash Book Balance as at  30/6/2021</t>
  </si>
  <si>
    <t>Closing Bank Balance as at  30/6/2021</t>
  </si>
  <si>
    <t>9/7/2021</t>
  </si>
  <si>
    <t>Cash Book Balance as at 9/7/2021</t>
  </si>
  <si>
    <t>Adjusted Cash Book Balance as at  9/7/2021</t>
  </si>
  <si>
    <t>Closing Bank Balance as at  9/7/2021</t>
  </si>
  <si>
    <t>Payroll 07.07.2021</t>
  </si>
  <si>
    <t>13/7/2021</t>
  </si>
  <si>
    <t>Cash Book Balance as at 13/7/2021</t>
  </si>
  <si>
    <t>Adjusted Cash Book Balance as at  13/7/2021</t>
  </si>
  <si>
    <t>Closing Bank Balance as at  13/7/2021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</si>
</sst>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-* #,##0.00_-;\-* #,##0.00_-;_-* &quot;-&quot;??_-;_-@_-"/>
    <numFmt numFmtId="164" formatCode="&quot;$&quot;#,##0.00"/>
  </numFmts>
  <fonts count="10">
    <font>
      <sz val="10"/>
      <name val="Arial"/>
      <charset val="134"/>
    </font>
    <font>
      <b/>
      <sz val="12"/>
      <name val="Arial"/>
      <family val="2"/>
    </font>
    <font>
      <b/>
      <sz val="10"/>
      <name val="Arial"/>
      <family val="2"/>
    </font>
    <font>
      <sz val="11"/>
      <color rgb="FF000000"/>
      <name val="Calibri"/>
      <family val="2"/>
    </font>
    <font>
      <sz val="9"/>
      <color rgb="FF1F1F1F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0"/>
      <color rgb="FF00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0" tint="-0.14996795556505021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</borders>
  <cellStyleXfs count="41">
    <xf numFmtId="0" fontId="0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6" fillId="0" borderId="0"/>
    <xf numFmtId="0" fontId="5" fillId="0" borderId="0"/>
    <xf numFmtId="0" fontId="5" fillId="0" borderId="0"/>
    <xf numFmtId="43" fontId="6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6" fillId="0" borderId="0"/>
    <xf numFmtId="0" fontId="5" fillId="0" borderId="0"/>
    <xf numFmtId="0" fontId="5" fillId="0" borderId="0"/>
    <xf numFmtId="0" fontId="5" fillId="0" borderId="0"/>
    <xf numFmtId="0" fontId="5" fillId="0" borderId="0"/>
  </cellStyleXfs>
  <cellXfs count="27">
    <xf numFmtId="0" fontId="0" fillId="0" borderId="0" xfId="0"/>
    <xf numFmtId="164" fontId="0" fillId="0" borderId="0" xfId="0" applyNumberFormat="1"/>
    <xf numFmtId="164" fontId="1" fillId="0" borderId="0" xfId="0" applyNumberFormat="1" applyFont="1"/>
    <xf numFmtId="0" fontId="2" fillId="0" borderId="0" xfId="0" applyFont="1"/>
    <xf numFmtId="164" fontId="2" fillId="0" borderId="0" xfId="0" applyNumberFormat="1" applyFont="1"/>
    <xf numFmtId="0" fontId="0" fillId="0" borderId="0" xfId="0" applyFont="1"/>
    <xf numFmtId="164" fontId="0" fillId="0" borderId="0" xfId="0" applyNumberFormat="1" applyFill="1"/>
    <xf numFmtId="2" fontId="0" fillId="0" borderId="0" xfId="0" applyNumberFormat="1"/>
    <xf numFmtId="0" fontId="2" fillId="0" borderId="1" xfId="0" applyFont="1" applyBorder="1"/>
    <xf numFmtId="164" fontId="0" fillId="0" borderId="1" xfId="0" applyNumberFormat="1" applyBorder="1"/>
    <xf numFmtId="0" fontId="0" fillId="0" borderId="1" xfId="0" applyBorder="1"/>
    <xf numFmtId="4" fontId="2" fillId="0" borderId="0" xfId="0" applyNumberFormat="1" applyFont="1"/>
    <xf numFmtId="164" fontId="2" fillId="0" borderId="2" xfId="0" applyNumberFormat="1" applyFont="1" applyBorder="1"/>
    <xf numFmtId="14" fontId="0" fillId="0" borderId="0" xfId="0" applyNumberFormat="1"/>
    <xf numFmtId="0" fontId="3" fillId="0" borderId="0" xfId="0" applyFont="1" applyAlignment="1">
      <alignment vertical="center"/>
    </xf>
    <xf numFmtId="164" fontId="0" fillId="0" borderId="0" xfId="0" applyNumberFormat="1" applyAlignment="1">
      <alignment horizontal="left"/>
    </xf>
    <xf numFmtId="2" fontId="0" fillId="0" borderId="0" xfId="0" applyNumberFormat="1" applyAlignment="1">
      <alignment horizontal="left"/>
    </xf>
    <xf numFmtId="14" fontId="2" fillId="0" borderId="0" xfId="0" quotePrefix="1" applyNumberFormat="1" applyFont="1" applyAlignment="1">
      <alignment horizontal="right"/>
    </xf>
    <xf numFmtId="0" fontId="7" fillId="0" borderId="0" xfId="0" applyFont="1"/>
    <xf numFmtId="164" fontId="2" fillId="0" borderId="0" xfId="0" applyNumberFormat="1" applyFont="1" applyFill="1"/>
    <xf numFmtId="4" fontId="4" fillId="0" borderId="0" xfId="0" applyNumberFormat="1" applyFont="1" applyFill="1"/>
    <xf numFmtId="164" fontId="0" fillId="2" borderId="0" xfId="0" applyNumberFormat="1" applyFill="1"/>
    <xf numFmtId="0" fontId="8" fillId="0" borderId="0" xfId="0" applyFont="1"/>
    <xf numFmtId="0" fontId="0" fillId="3" borderId="0" xfId="0" applyFill="1"/>
    <xf numFmtId="164" fontId="2" fillId="3" borderId="0" xfId="0" applyNumberFormat="1" applyFont="1" applyFill="1"/>
    <xf numFmtId="0" fontId="6" fillId="0" borderId="0" xfId="0" applyFont="1"/>
    <xf numFmtId="0" fontId="0" fillId="0" borderId="0" xfId="0" applyAlignment="1">
      <alignment horizontal="center"/>
    </xf>
  </cellXfs>
  <cellStyles count="41">
    <cellStyle name="Comma 2" xfId="13" xr:uid="{00000000-0005-0000-0000-00003D000000}"/>
    <cellStyle name="Normal" xfId="0" builtinId="0"/>
    <cellStyle name="Normal 10" xfId="15" xr:uid="{00000000-0005-0000-0000-00003F000000}"/>
    <cellStyle name="Normal 11" xfId="14" xr:uid="{00000000-0005-0000-0000-00003E000000}"/>
    <cellStyle name="Normal 12" xfId="16" xr:uid="{00000000-0005-0000-0000-000040000000}"/>
    <cellStyle name="Normal 12 2" xfId="17" xr:uid="{00000000-0005-0000-0000-000041000000}"/>
    <cellStyle name="Normal 13" xfId="18" xr:uid="{00000000-0005-0000-0000-000042000000}"/>
    <cellStyle name="Normal 14" xfId="19" xr:uid="{00000000-0005-0000-0000-000043000000}"/>
    <cellStyle name="Normal 2" xfId="10" xr:uid="{00000000-0005-0000-0000-000029000000}"/>
    <cellStyle name="Normal 3" xfId="12" xr:uid="{00000000-0005-0000-0000-000030000000}"/>
    <cellStyle name="Normal 3 2" xfId="20" xr:uid="{00000000-0005-0000-0000-000044000000}"/>
    <cellStyle name="Normal 3 2 2" xfId="21" xr:uid="{00000000-0005-0000-0000-000045000000}"/>
    <cellStyle name="Normal 3 3" xfId="9" xr:uid="{00000000-0005-0000-0000-000026000000}"/>
    <cellStyle name="Normal 4" xfId="7" xr:uid="{00000000-0005-0000-0000-00001C000000}"/>
    <cellStyle name="Normal 4 2" xfId="8" xr:uid="{00000000-0005-0000-0000-000024000000}"/>
    <cellStyle name="Normal 4 2 2" xfId="5" xr:uid="{00000000-0005-0000-0000-000017000000}"/>
    <cellStyle name="Normal 4 3" xfId="22" xr:uid="{00000000-0005-0000-0000-000046000000}"/>
    <cellStyle name="Normal 4 3 2" xfId="23" xr:uid="{00000000-0005-0000-0000-000047000000}"/>
    <cellStyle name="Normal 4 4" xfId="24" xr:uid="{00000000-0005-0000-0000-000048000000}"/>
    <cellStyle name="Normal 4 5" xfId="25" xr:uid="{00000000-0005-0000-0000-000049000000}"/>
    <cellStyle name="Normal 5" xfId="26" xr:uid="{00000000-0005-0000-0000-00004A000000}"/>
    <cellStyle name="Normal 5 2" xfId="27" xr:uid="{00000000-0005-0000-0000-00004B000000}"/>
    <cellStyle name="Normal 5 2 2" xfId="28" xr:uid="{00000000-0005-0000-0000-00004C000000}"/>
    <cellStyle name="Normal 5 3" xfId="4" xr:uid="{00000000-0005-0000-0000-000016000000}"/>
    <cellStyle name="Normal 5 3 2" xfId="29" xr:uid="{00000000-0005-0000-0000-00004D000000}"/>
    <cellStyle name="Normal 5 4" xfId="1" xr:uid="{00000000-0005-0000-0000-000008000000}"/>
    <cellStyle name="Normal 5 5" xfId="6" xr:uid="{00000000-0005-0000-0000-000019000000}"/>
    <cellStyle name="Normal 6" xfId="30" xr:uid="{00000000-0005-0000-0000-00004E000000}"/>
    <cellStyle name="Normal 6 2" xfId="31" xr:uid="{00000000-0005-0000-0000-00004F000000}"/>
    <cellStyle name="Normal 6 2 2" xfId="32" xr:uid="{00000000-0005-0000-0000-000050000000}"/>
    <cellStyle name="Normal 6 3" xfId="3" xr:uid="{00000000-0005-0000-0000-000012000000}"/>
    <cellStyle name="Normal 6 3 2" xfId="11" xr:uid="{00000000-0005-0000-0000-00002F000000}"/>
    <cellStyle name="Normal 6 4" xfId="33" xr:uid="{00000000-0005-0000-0000-000051000000}"/>
    <cellStyle name="Normal 7" xfId="34" xr:uid="{00000000-0005-0000-0000-000052000000}"/>
    <cellStyle name="Normal 7 2" xfId="2" xr:uid="{00000000-0005-0000-0000-00000C000000}"/>
    <cellStyle name="Normal 7 2 2" xfId="35" xr:uid="{00000000-0005-0000-0000-000053000000}"/>
    <cellStyle name="Normal 7 3" xfId="36" xr:uid="{00000000-0005-0000-0000-000054000000}"/>
    <cellStyle name="Normal 7 4" xfId="37" xr:uid="{00000000-0005-0000-0000-000055000000}"/>
    <cellStyle name="Normal 7 5" xfId="38" xr:uid="{00000000-0005-0000-0000-000056000000}"/>
    <cellStyle name="Normal 8" xfId="39" xr:uid="{00000000-0005-0000-0000-000057000000}"/>
    <cellStyle name="Normal 9" xfId="40" xr:uid="{00000000-0005-0000-0000-000058000000}"/>
  </cellStyles>
  <dxfs count="9"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9525</xdr:colOff>
          <xdr:row>1</xdr:row>
          <xdr:rowOff>19050</xdr:rowOff>
        </xdr:from>
        <xdr:to>
          <xdr:col>3</xdr:col>
          <xdr:colOff>9525</xdr:colOff>
          <xdr:row>3</xdr:row>
          <xdr:rowOff>0</xdr:rowOff>
        </xdr:to>
        <xdr:sp macro="" textlink="">
          <xdr:nvSpPr>
            <xdr:cNvPr id="149505" name="Button 1" hidden="1">
              <a:extLst>
                <a:ext uri="{63B3BB69-23CF-44E3-9099-C40C66FF867C}">
                  <a14:compatExt spid="_x0000_s149505"/>
                </a:ext>
                <a:ext uri="{FF2B5EF4-FFF2-40B4-BE49-F238E27FC236}">
                  <a16:creationId xmlns:a16="http://schemas.microsoft.com/office/drawing/2014/main" id="{74418D9C-663F-428E-B1A0-06BB69184B4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Initiate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190500</xdr:colOff>
      <xdr:row>0</xdr:row>
      <xdr:rowOff>114301</xdr:rowOff>
    </xdr:from>
    <xdr:to>
      <xdr:col>0</xdr:col>
      <xdr:colOff>2541061</xdr:colOff>
      <xdr:row>5</xdr:row>
      <xdr:rowOff>125940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E7470AC1-2B7B-4C36-8C4C-A2C910BF3B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0" y="114301"/>
          <a:ext cx="2350561" cy="8593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9525</xdr:colOff>
          <xdr:row>1</xdr:row>
          <xdr:rowOff>19050</xdr:rowOff>
        </xdr:from>
        <xdr:to>
          <xdr:col>3</xdr:col>
          <xdr:colOff>9525</xdr:colOff>
          <xdr:row>3</xdr:row>
          <xdr:rowOff>0</xdr:rowOff>
        </xdr:to>
        <xdr:sp macro="" textlink="">
          <xdr:nvSpPr>
            <xdr:cNvPr id="147457" name="Button 1" hidden="1">
              <a:extLst>
                <a:ext uri="{63B3BB69-23CF-44E3-9099-C40C66FF867C}">
                  <a14:compatExt spid="_x0000_s147457"/>
                </a:ext>
                <a:ext uri="{FF2B5EF4-FFF2-40B4-BE49-F238E27FC236}">
                  <a16:creationId xmlns:a16="http://schemas.microsoft.com/office/drawing/2014/main" id="{00000000-0008-0000-0000-0000014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Initiate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190500</xdr:colOff>
      <xdr:row>0</xdr:row>
      <xdr:rowOff>114301</xdr:rowOff>
    </xdr:from>
    <xdr:to>
      <xdr:col>0</xdr:col>
      <xdr:colOff>2541061</xdr:colOff>
      <xdr:row>5</xdr:row>
      <xdr:rowOff>125940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0" y="114301"/>
          <a:ext cx="2350561" cy="8593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9525</xdr:colOff>
          <xdr:row>1</xdr:row>
          <xdr:rowOff>19050</xdr:rowOff>
        </xdr:from>
        <xdr:to>
          <xdr:col>3</xdr:col>
          <xdr:colOff>9525</xdr:colOff>
          <xdr:row>3</xdr:row>
          <xdr:rowOff>0</xdr:rowOff>
        </xdr:to>
        <xdr:sp macro="" textlink="">
          <xdr:nvSpPr>
            <xdr:cNvPr id="139265" name="Button 1" hidden="1">
              <a:extLst>
                <a:ext uri="{63B3BB69-23CF-44E3-9099-C40C66FF867C}">
                  <a14:compatExt spid="_x0000_s139265"/>
                </a:ext>
                <a:ext uri="{FF2B5EF4-FFF2-40B4-BE49-F238E27FC236}">
                  <a16:creationId xmlns:a16="http://schemas.microsoft.com/office/drawing/2014/main" id="{00000000-0008-0000-0100-000001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Initiate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190500</xdr:colOff>
      <xdr:row>0</xdr:row>
      <xdr:rowOff>114301</xdr:rowOff>
    </xdr:from>
    <xdr:to>
      <xdr:col>0</xdr:col>
      <xdr:colOff>2541061</xdr:colOff>
      <xdr:row>5</xdr:row>
      <xdr:rowOff>125940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0" y="114301"/>
          <a:ext cx="2350561" cy="8593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93060F-C094-4BC0-99C6-44020CD0D978}">
  <sheetPr codeName="Sheet31"/>
  <dimension ref="A3:Q52"/>
  <sheetViews>
    <sheetView tabSelected="1" view="pageBreakPreview" topLeftCell="A7" zoomScaleNormal="100" zoomScaleSheetLayoutView="100" workbookViewId="0">
      <selection activeCell="B21" sqref="B21"/>
    </sheetView>
  </sheetViews>
  <sheetFormatPr defaultColWidth="9" defaultRowHeight="12.75"/>
  <cols>
    <col min="1" max="1" width="45.28515625" customWidth="1"/>
    <col min="2" max="2" width="14" style="1" customWidth="1"/>
    <col min="3" max="3" width="14" customWidth="1"/>
    <col min="4" max="4" width="18.42578125" customWidth="1"/>
    <col min="5" max="5" width="10.5703125" hidden="1" customWidth="1"/>
    <col min="6" max="6" width="9" hidden="1" customWidth="1"/>
    <col min="7" max="7" width="9.5703125" hidden="1" customWidth="1"/>
    <col min="9" max="9" width="12.42578125" customWidth="1"/>
    <col min="10" max="10" width="14.5703125" customWidth="1"/>
    <col min="11" max="11" width="13" customWidth="1"/>
    <col min="12" max="12" width="10.5703125" customWidth="1"/>
    <col min="17" max="17" width="11.5703125" customWidth="1"/>
  </cols>
  <sheetData>
    <row r="3" spans="1:17" ht="15.75">
      <c r="D3" s="2" t="s">
        <v>0</v>
      </c>
    </row>
    <row r="6" spans="1:17">
      <c r="A6" s="3"/>
      <c r="B6" s="4" t="s">
        <v>1</v>
      </c>
      <c r="C6" s="4" t="s">
        <v>2</v>
      </c>
      <c r="D6" s="4" t="s">
        <v>3</v>
      </c>
    </row>
    <row r="7" spans="1:17">
      <c r="A7" s="3"/>
      <c r="B7" s="4"/>
      <c r="C7" s="4"/>
      <c r="D7" s="4"/>
      <c r="J7" s="13"/>
    </row>
    <row r="8" spans="1:17">
      <c r="A8" s="17" t="s">
        <v>35</v>
      </c>
      <c r="B8" s="4"/>
      <c r="C8" s="4"/>
      <c r="D8" s="4">
        <v>-221804.3700000004</v>
      </c>
      <c r="I8" t="s">
        <v>4</v>
      </c>
      <c r="J8" s="1"/>
    </row>
    <row r="9" spans="1:17">
      <c r="A9" t="s">
        <v>5</v>
      </c>
      <c r="C9" s="1"/>
      <c r="D9" s="1"/>
    </row>
    <row r="10" spans="1:17">
      <c r="A10" s="3" t="s">
        <v>6</v>
      </c>
      <c r="D10" s="1"/>
      <c r="Q10" s="7"/>
    </row>
    <row r="11" spans="1:17">
      <c r="A11" s="3"/>
      <c r="C11" s="1"/>
      <c r="D11" s="1"/>
      <c r="Q11" s="7"/>
    </row>
    <row r="12" spans="1:17">
      <c r="A12" s="5" t="s">
        <v>7</v>
      </c>
      <c r="C12" s="23"/>
      <c r="D12" s="1"/>
      <c r="I12" t="s">
        <v>8</v>
      </c>
      <c r="J12" s="1"/>
      <c r="Q12" s="1"/>
    </row>
    <row r="13" spans="1:17" ht="12.75" customHeight="1">
      <c r="A13" s="18" t="s">
        <v>23</v>
      </c>
      <c r="C13" s="23">
        <v>-5828.44</v>
      </c>
      <c r="D13" s="7"/>
    </row>
    <row r="14" spans="1:17" ht="12.75" customHeight="1">
      <c r="A14" t="s">
        <v>9</v>
      </c>
      <c r="C14" s="23"/>
      <c r="D14" s="1"/>
    </row>
    <row r="15" spans="1:17" ht="12.75" customHeight="1">
      <c r="C15" s="1"/>
      <c r="D15" s="1"/>
    </row>
    <row r="16" spans="1:17" ht="12.75" customHeight="1">
      <c r="D16" s="1"/>
    </row>
    <row r="17" spans="1:16">
      <c r="A17" s="3"/>
      <c r="C17" s="1"/>
      <c r="D17" s="1"/>
      <c r="G17">
        <v>2395.9299999999998</v>
      </c>
    </row>
    <row r="18" spans="1:16">
      <c r="A18" s="3" t="s">
        <v>10</v>
      </c>
      <c r="B18" s="6"/>
      <c r="C18" s="1"/>
      <c r="D18" s="1"/>
      <c r="G18">
        <f>SUM(G13:G17)</f>
        <v>2395.9299999999998</v>
      </c>
      <c r="I18" t="s">
        <v>11</v>
      </c>
    </row>
    <row r="19" spans="1:16">
      <c r="A19" t="s">
        <v>12</v>
      </c>
      <c r="B19" s="23"/>
      <c r="C19" s="1"/>
      <c r="D19" s="1"/>
      <c r="G19" t="e">
        <f>#REF!-G18</f>
        <v>#REF!</v>
      </c>
    </row>
    <row r="20" spans="1:16">
      <c r="A20" t="s">
        <v>13</v>
      </c>
      <c r="B20" s="23">
        <v>1580.59</v>
      </c>
      <c r="C20" s="1"/>
      <c r="D20" s="1"/>
    </row>
    <row r="21" spans="1:16">
      <c r="A21" t="s">
        <v>14</v>
      </c>
      <c r="B21" s="23"/>
      <c r="C21" s="1"/>
      <c r="D21" s="1"/>
    </row>
    <row r="22" spans="1:16">
      <c r="A22" t="s">
        <v>14</v>
      </c>
      <c r="B22" s="23"/>
      <c r="C22" s="1"/>
      <c r="D22" s="1"/>
    </row>
    <row r="23" spans="1:16">
      <c r="A23" t="s">
        <v>34</v>
      </c>
      <c r="B23" s="23">
        <v>4092.29</v>
      </c>
      <c r="D23" s="1"/>
    </row>
    <row r="24" spans="1:16">
      <c r="A24" s="18" t="s">
        <v>24</v>
      </c>
      <c r="B24" s="23"/>
      <c r="D24" s="1"/>
      <c r="J24" s="1"/>
    </row>
    <row r="25" spans="1:16">
      <c r="A25" t="s">
        <v>15</v>
      </c>
      <c r="B25" s="23"/>
      <c r="D25" s="1"/>
      <c r="F25" s="1"/>
      <c r="H25" s="1"/>
      <c r="I25" s="1"/>
    </row>
    <row r="26" spans="1:16">
      <c r="A26" t="s">
        <v>16</v>
      </c>
      <c r="B26" s="23"/>
      <c r="D26" s="1"/>
      <c r="F26" s="1"/>
      <c r="H26" s="1"/>
      <c r="I26" s="1"/>
    </row>
    <row r="27" spans="1:16">
      <c r="A27" s="3" t="s">
        <v>17</v>
      </c>
      <c r="B27" s="19">
        <f>SUM(B19:B26)</f>
        <v>5672.88</v>
      </c>
      <c r="C27" s="1"/>
      <c r="D27" s="1"/>
      <c r="E27" s="1">
        <f>108731.03-B27</f>
        <v>103058.15</v>
      </c>
    </row>
    <row r="28" spans="1:16">
      <c r="B28" s="6"/>
      <c r="C28" s="1"/>
      <c r="D28" s="1"/>
    </row>
    <row r="29" spans="1:16" ht="15">
      <c r="A29" s="22" t="s">
        <v>36</v>
      </c>
      <c r="B29" s="6"/>
      <c r="C29" s="1"/>
      <c r="D29" s="4">
        <f>D8+B27+C12+C13+C14+C15</f>
        <v>-221959.9300000004</v>
      </c>
      <c r="E29" s="1"/>
      <c r="F29" s="1"/>
      <c r="I29" s="1" t="s">
        <v>18</v>
      </c>
      <c r="L29" s="1"/>
      <c r="O29" s="14"/>
      <c r="P29" s="7"/>
    </row>
    <row r="30" spans="1:16" ht="15">
      <c r="B30" s="6"/>
      <c r="C30" s="1"/>
      <c r="D30" s="1"/>
      <c r="I30" s="1"/>
      <c r="O30" s="14"/>
      <c r="P30" s="7"/>
    </row>
    <row r="31" spans="1:16" ht="15">
      <c r="A31" s="3" t="s">
        <v>19</v>
      </c>
      <c r="B31" s="6"/>
      <c r="C31" s="1"/>
      <c r="D31" s="1"/>
      <c r="I31" s="1"/>
      <c r="O31" s="14"/>
      <c r="P31" s="7"/>
    </row>
    <row r="32" spans="1:16" ht="15">
      <c r="A32" s="18"/>
      <c r="B32" s="6"/>
      <c r="C32" s="1"/>
      <c r="D32" s="1"/>
      <c r="I32" s="1"/>
      <c r="O32" s="14"/>
      <c r="P32" s="7"/>
    </row>
    <row r="33" spans="1:13">
      <c r="A33" s="18"/>
      <c r="B33" s="20"/>
      <c r="C33" s="1"/>
      <c r="D33" s="1"/>
      <c r="K33" s="1"/>
    </row>
    <row r="34" spans="1:13">
      <c r="A34" s="25"/>
      <c r="C34" s="1"/>
      <c r="D34" s="1"/>
      <c r="K34" s="1"/>
    </row>
    <row r="35" spans="1:13">
      <c r="A35" s="18"/>
      <c r="B35" s="6"/>
      <c r="D35" s="1"/>
      <c r="K35" s="1"/>
    </row>
    <row r="36" spans="1:13">
      <c r="B36" s="6"/>
      <c r="C36" s="1"/>
      <c r="D36" s="1"/>
      <c r="K36" s="1"/>
    </row>
    <row r="37" spans="1:13">
      <c r="B37" s="6"/>
      <c r="C37" s="1"/>
      <c r="D37" s="1"/>
      <c r="K37" s="1"/>
    </row>
    <row r="38" spans="1:13">
      <c r="B38" s="6"/>
      <c r="C38" s="1"/>
      <c r="D38" s="1"/>
      <c r="K38" s="21"/>
    </row>
    <row r="39" spans="1:13">
      <c r="A39" s="3"/>
      <c r="B39" s="6"/>
      <c r="C39" s="1"/>
      <c r="D39" s="1"/>
      <c r="K39" s="1"/>
    </row>
    <row r="40" spans="1:13">
      <c r="A40" s="3" t="s">
        <v>20</v>
      </c>
      <c r="B40" s="4">
        <f>SUM(B32:B39)</f>
        <v>0</v>
      </c>
      <c r="C40" s="1"/>
      <c r="D40" s="1"/>
    </row>
    <row r="41" spans="1:13">
      <c r="A41" s="5"/>
      <c r="C41" s="1"/>
      <c r="D41" s="1"/>
      <c r="J41" s="15"/>
    </row>
    <row r="42" spans="1:13">
      <c r="A42" s="3" t="s">
        <v>37</v>
      </c>
      <c r="C42" s="1"/>
      <c r="D42" s="4">
        <f>D29+B40</f>
        <v>-221959.9300000004</v>
      </c>
      <c r="J42" t="s">
        <v>21</v>
      </c>
      <c r="K42" s="16">
        <f>D42+D46</f>
        <v>-4.0745362639427185E-10</v>
      </c>
      <c r="L42" t="b">
        <f>K42=M42</f>
        <v>0</v>
      </c>
      <c r="M42">
        <v>0</v>
      </c>
    </row>
    <row r="43" spans="1:13" ht="12.75" hidden="1" customHeight="1">
      <c r="A43" s="3"/>
      <c r="C43" s="1"/>
      <c r="D43" s="1"/>
    </row>
    <row r="44" spans="1:13">
      <c r="A44" s="8"/>
      <c r="B44" s="9"/>
      <c r="C44" s="9"/>
      <c r="D44" s="9"/>
      <c r="E44" s="10"/>
      <c r="F44" s="10"/>
      <c r="G44" s="10"/>
      <c r="H44" s="10"/>
    </row>
    <row r="45" spans="1:13">
      <c r="A45" s="3"/>
      <c r="C45" s="1"/>
      <c r="D45" s="1"/>
    </row>
    <row r="46" spans="1:13">
      <c r="A46" s="3" t="s">
        <v>38</v>
      </c>
      <c r="B46" s="1" t="s">
        <v>22</v>
      </c>
      <c r="C46" s="1"/>
      <c r="D46" s="24">
        <v>221959.93</v>
      </c>
    </row>
    <row r="47" spans="1:13">
      <c r="A47" s="3"/>
      <c r="C47" s="1"/>
      <c r="D47" s="1"/>
    </row>
    <row r="48" spans="1:13">
      <c r="A48" s="3"/>
      <c r="B48" s="6"/>
      <c r="C48" s="1"/>
      <c r="D48" s="4"/>
      <c r="I48" s="1"/>
    </row>
    <row r="49" spans="1:9">
      <c r="A49" s="3"/>
      <c r="I49" s="1"/>
    </row>
    <row r="50" spans="1:9">
      <c r="A50" s="26"/>
      <c r="B50" s="26"/>
      <c r="C50" s="26"/>
      <c r="D50" s="11"/>
      <c r="I50" s="1"/>
    </row>
    <row r="51" spans="1:9" ht="13.5" thickBot="1">
      <c r="D51" s="12">
        <f>D46+D42</f>
        <v>-4.0745362639427185E-10</v>
      </c>
    </row>
    <row r="52" spans="1:9" ht="13.5" thickTop="1"/>
  </sheetData>
  <mergeCells count="1">
    <mergeCell ref="A50:C50"/>
  </mergeCells>
  <conditionalFormatting sqref="D51">
    <cfRule type="expression" dxfId="2" priority="3">
      <formula>$D$46&lt;&gt;-$D$42</formula>
    </cfRule>
  </conditionalFormatting>
  <conditionalFormatting sqref="A32:A33 A35:A39">
    <cfRule type="expression" dxfId="1" priority="2">
      <formula>A32&lt;&gt;""</formula>
    </cfRule>
  </conditionalFormatting>
  <conditionalFormatting sqref="B32:B33 B35:B39 B23">
    <cfRule type="expression" dxfId="0" priority="1">
      <formula>A23&lt;&gt;""</formula>
    </cfRule>
  </conditionalFormatting>
  <dataValidations count="1">
    <dataValidation type="custom" allowBlank="1" showInputMessage="1" showErrorMessage="1" sqref="C12:C14" xr:uid="{FC53FC28-C7F1-4C62-BAE3-B4FCAECD0E28}">
      <formula1>C12&lt;0</formula1>
    </dataValidation>
  </dataValidations>
  <pageMargins left="1.085" right="0.7" top="0.75" bottom="0.75" header="0.3" footer="0.3"/>
  <pageSetup scale="8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9505" r:id="rId4" name="Button 1">
              <controlPr defaultSize="0" print="0" autoFill="0" autoPict="0" macro="[0]!BNZRec">
                <anchor>
                  <from>
                    <xdr:col>2</xdr:col>
                    <xdr:colOff>9525</xdr:colOff>
                    <xdr:row>1</xdr:row>
                    <xdr:rowOff>19050</xdr:rowOff>
                  </from>
                  <to>
                    <xdr:col>3</xdr:col>
                    <xdr:colOff>9525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05BD3C-2F70-4002-97F1-A0781D8190FC}">
  <sheetPr codeName="Sheet30"/>
  <dimension ref="A3:Q52"/>
  <sheetViews>
    <sheetView view="pageBreakPreview" zoomScaleNormal="100" zoomScaleSheetLayoutView="100" workbookViewId="0">
      <selection activeCell="A5" sqref="A5"/>
    </sheetView>
  </sheetViews>
  <sheetFormatPr defaultColWidth="9" defaultRowHeight="12.75"/>
  <cols>
    <col min="1" max="1" width="45.28515625" customWidth="1"/>
    <col min="2" max="2" width="14" style="1" customWidth="1"/>
    <col min="3" max="3" width="14" customWidth="1"/>
    <col min="4" max="4" width="18.42578125" customWidth="1"/>
    <col min="5" max="5" width="10.5703125" hidden="1" customWidth="1"/>
    <col min="6" max="6" width="9" hidden="1" customWidth="1"/>
    <col min="7" max="7" width="9.5703125" hidden="1" customWidth="1"/>
    <col min="9" max="9" width="12.42578125" customWidth="1"/>
    <col min="10" max="10" width="14.5703125" customWidth="1"/>
    <col min="11" max="11" width="13" customWidth="1"/>
    <col min="12" max="12" width="10.5703125" customWidth="1"/>
    <col min="17" max="17" width="11.5703125" customWidth="1"/>
  </cols>
  <sheetData>
    <row r="3" spans="1:17" ht="15.75">
      <c r="D3" s="2" t="s">
        <v>0</v>
      </c>
    </row>
    <row r="6" spans="1:17">
      <c r="A6" s="3"/>
      <c r="B6" s="4" t="s">
        <v>1</v>
      </c>
      <c r="C6" s="4" t="s">
        <v>2</v>
      </c>
      <c r="D6" s="4" t="s">
        <v>3</v>
      </c>
    </row>
    <row r="7" spans="1:17">
      <c r="A7" s="3"/>
      <c r="B7" s="4"/>
      <c r="C7" s="4"/>
      <c r="D7" s="4"/>
      <c r="J7" s="13"/>
    </row>
    <row r="8" spans="1:17">
      <c r="A8" s="17" t="s">
        <v>30</v>
      </c>
      <c r="B8" s="4"/>
      <c r="C8" s="4"/>
      <c r="D8" s="4">
        <v>-204570.04000000039</v>
      </c>
      <c r="I8" t="s">
        <v>4</v>
      </c>
      <c r="J8" s="1"/>
    </row>
    <row r="9" spans="1:17">
      <c r="A9" t="s">
        <v>5</v>
      </c>
      <c r="C9" s="1"/>
      <c r="D9" s="1"/>
    </row>
    <row r="10" spans="1:17">
      <c r="A10" s="3" t="s">
        <v>6</v>
      </c>
      <c r="D10" s="1"/>
      <c r="Q10" s="7"/>
    </row>
    <row r="11" spans="1:17">
      <c r="A11" s="3"/>
      <c r="C11" s="1"/>
      <c r="D11" s="1"/>
      <c r="Q11" s="7"/>
    </row>
    <row r="12" spans="1:17">
      <c r="A12" s="5" t="s">
        <v>7</v>
      </c>
      <c r="C12" s="23">
        <v>-17922.61</v>
      </c>
      <c r="D12" s="1"/>
      <c r="I12" t="s">
        <v>8</v>
      </c>
      <c r="J12" s="1"/>
      <c r="Q12" s="1"/>
    </row>
    <row r="13" spans="1:17" ht="12.75" customHeight="1">
      <c r="A13" s="18" t="s">
        <v>23</v>
      </c>
      <c r="C13" s="23"/>
      <c r="D13" s="7"/>
    </row>
    <row r="14" spans="1:17" ht="12.75" customHeight="1">
      <c r="A14" t="s">
        <v>9</v>
      </c>
      <c r="C14" s="23"/>
      <c r="D14" s="1"/>
    </row>
    <row r="15" spans="1:17" ht="12.75" customHeight="1">
      <c r="C15" s="1"/>
      <c r="D15" s="1"/>
    </row>
    <row r="16" spans="1:17" ht="12.75" customHeight="1">
      <c r="D16" s="1"/>
    </row>
    <row r="17" spans="1:16">
      <c r="A17" s="3"/>
      <c r="C17" s="1"/>
      <c r="D17" s="1"/>
      <c r="G17">
        <v>2395.9299999999998</v>
      </c>
    </row>
    <row r="18" spans="1:16">
      <c r="A18" s="3" t="s">
        <v>10</v>
      </c>
      <c r="B18" s="6"/>
      <c r="C18" s="1"/>
      <c r="D18" s="1"/>
      <c r="G18">
        <f>SUM(G13:G17)</f>
        <v>2395.9299999999998</v>
      </c>
      <c r="I18" t="s">
        <v>11</v>
      </c>
    </row>
    <row r="19" spans="1:16">
      <c r="A19" t="s">
        <v>12</v>
      </c>
      <c r="B19" s="23"/>
      <c r="C19" s="1"/>
      <c r="D19" s="1"/>
      <c r="G19" t="e">
        <f>#REF!-G18</f>
        <v>#REF!</v>
      </c>
    </row>
    <row r="20" spans="1:16">
      <c r="A20" t="s">
        <v>13</v>
      </c>
      <c r="B20" s="23"/>
      <c r="C20" s="1"/>
      <c r="D20" s="1"/>
    </row>
    <row r="21" spans="1:16">
      <c r="A21" t="s">
        <v>14</v>
      </c>
      <c r="B21" s="23"/>
      <c r="C21" s="1"/>
      <c r="D21" s="1"/>
    </row>
    <row r="22" spans="1:16">
      <c r="A22" t="s">
        <v>14</v>
      </c>
      <c r="B22" s="23"/>
      <c r="C22" s="1"/>
      <c r="D22" s="1"/>
    </row>
    <row r="23" spans="1:16">
      <c r="A23" t="s">
        <v>25</v>
      </c>
      <c r="B23" s="23"/>
      <c r="D23" s="1"/>
    </row>
    <row r="24" spans="1:16">
      <c r="A24" s="18" t="s">
        <v>24</v>
      </c>
      <c r="B24" s="23"/>
      <c r="D24" s="1"/>
      <c r="J24" s="1"/>
    </row>
    <row r="25" spans="1:16">
      <c r="A25" t="s">
        <v>15</v>
      </c>
      <c r="B25" s="23">
        <v>688.28</v>
      </c>
      <c r="D25" s="1"/>
      <c r="F25" s="1"/>
      <c r="H25" s="1"/>
      <c r="I25" s="1"/>
    </row>
    <row r="26" spans="1:16">
      <c r="A26" t="s">
        <v>16</v>
      </c>
      <c r="B26" s="23"/>
      <c r="D26" s="1"/>
      <c r="F26" s="1"/>
      <c r="H26" s="1"/>
      <c r="I26" s="1"/>
    </row>
    <row r="27" spans="1:16">
      <c r="A27" s="3" t="s">
        <v>17</v>
      </c>
      <c r="B27" s="19">
        <f>SUM(B19:B26)</f>
        <v>688.28</v>
      </c>
      <c r="C27" s="1"/>
      <c r="D27" s="1"/>
      <c r="E27" s="1">
        <f>108731.03-B27</f>
        <v>108042.75</v>
      </c>
    </row>
    <row r="28" spans="1:16">
      <c r="B28" s="6"/>
      <c r="C28" s="1"/>
      <c r="D28" s="1"/>
    </row>
    <row r="29" spans="1:16" ht="15">
      <c r="A29" s="22" t="s">
        <v>31</v>
      </c>
      <c r="B29" s="6"/>
      <c r="C29" s="1"/>
      <c r="D29" s="4">
        <f>D8+B27+C12+C13+C14+C15</f>
        <v>-221804.3700000004</v>
      </c>
      <c r="E29" s="1"/>
      <c r="F29" s="1"/>
      <c r="I29" s="1" t="s">
        <v>18</v>
      </c>
      <c r="L29" s="1"/>
      <c r="O29" s="14"/>
      <c r="P29" s="7"/>
    </row>
    <row r="30" spans="1:16" ht="15">
      <c r="B30" s="6"/>
      <c r="C30" s="1"/>
      <c r="D30" s="1"/>
      <c r="I30" s="1"/>
      <c r="O30" s="14"/>
      <c r="P30" s="7"/>
    </row>
    <row r="31" spans="1:16" ht="15">
      <c r="A31" s="3" t="s">
        <v>19</v>
      </c>
      <c r="B31" s="6"/>
      <c r="C31" s="1"/>
      <c r="D31" s="1"/>
      <c r="I31" s="1"/>
      <c r="O31" s="14"/>
      <c r="P31" s="7"/>
    </row>
    <row r="32" spans="1:16" ht="15">
      <c r="A32" s="18"/>
      <c r="B32" s="6"/>
      <c r="C32" s="1"/>
      <c r="D32" s="1"/>
      <c r="I32" s="1"/>
      <c r="O32" s="14"/>
      <c r="P32" s="7"/>
    </row>
    <row r="33" spans="1:13">
      <c r="A33" s="18"/>
      <c r="B33" s="20"/>
      <c r="C33" s="1"/>
      <c r="D33" s="1"/>
      <c r="K33" s="1"/>
    </row>
    <row r="34" spans="1:13">
      <c r="A34" s="25" t="s">
        <v>34</v>
      </c>
      <c r="B34" s="1">
        <v>4092.29</v>
      </c>
      <c r="C34" s="1"/>
      <c r="D34" s="1"/>
      <c r="K34" s="1"/>
    </row>
    <row r="35" spans="1:13">
      <c r="A35" s="18"/>
      <c r="B35" s="6"/>
      <c r="D35" s="1"/>
      <c r="K35" s="1"/>
    </row>
    <row r="36" spans="1:13">
      <c r="B36" s="6"/>
      <c r="C36" s="1"/>
      <c r="D36" s="1"/>
      <c r="K36" s="1"/>
    </row>
    <row r="37" spans="1:13">
      <c r="B37" s="6"/>
      <c r="C37" s="1"/>
      <c r="D37" s="1"/>
      <c r="K37" s="1"/>
    </row>
    <row r="38" spans="1:13">
      <c r="B38" s="6"/>
      <c r="C38" s="1"/>
      <c r="D38" s="1"/>
      <c r="K38" s="21"/>
    </row>
    <row r="39" spans="1:13">
      <c r="A39" s="3"/>
      <c r="B39" s="6"/>
      <c r="C39" s="1"/>
      <c r="D39" s="1"/>
      <c r="K39" s="1"/>
    </row>
    <row r="40" spans="1:13">
      <c r="A40" s="3" t="s">
        <v>20</v>
      </c>
      <c r="B40" s="4">
        <f>SUM(B32:B39)</f>
        <v>4092.29</v>
      </c>
      <c r="C40" s="1"/>
      <c r="D40" s="1"/>
    </row>
    <row r="41" spans="1:13">
      <c r="A41" s="5"/>
      <c r="C41" s="1"/>
      <c r="D41" s="1"/>
      <c r="J41" s="15"/>
    </row>
    <row r="42" spans="1:13">
      <c r="A42" s="3" t="s">
        <v>32</v>
      </c>
      <c r="C42" s="1"/>
      <c r="D42" s="4">
        <f>D29+B40</f>
        <v>-217712.08000000039</v>
      </c>
      <c r="J42" t="s">
        <v>21</v>
      </c>
      <c r="K42" s="16">
        <f>D42+D46</f>
        <v>-4.0745362639427185E-10</v>
      </c>
      <c r="L42" t="b">
        <f>K42=M42</f>
        <v>0</v>
      </c>
      <c r="M42">
        <v>0</v>
      </c>
    </row>
    <row r="43" spans="1:13" ht="12.75" hidden="1" customHeight="1">
      <c r="A43" s="3"/>
      <c r="C43" s="1"/>
      <c r="D43" s="1"/>
    </row>
    <row r="44" spans="1:13">
      <c r="A44" s="8"/>
      <c r="B44" s="9"/>
      <c r="C44" s="9"/>
      <c r="D44" s="9"/>
      <c r="E44" s="10"/>
      <c r="F44" s="10"/>
      <c r="G44" s="10"/>
      <c r="H44" s="10"/>
    </row>
    <row r="45" spans="1:13">
      <c r="A45" s="3"/>
      <c r="C45" s="1"/>
      <c r="D45" s="1"/>
    </row>
    <row r="46" spans="1:13">
      <c r="A46" s="3" t="s">
        <v>33</v>
      </c>
      <c r="B46" s="1" t="s">
        <v>22</v>
      </c>
      <c r="C46" s="1"/>
      <c r="D46" s="24">
        <v>217712.08</v>
      </c>
    </row>
    <row r="47" spans="1:13">
      <c r="A47" s="3"/>
      <c r="C47" s="1"/>
      <c r="D47" s="1"/>
    </row>
    <row r="48" spans="1:13">
      <c r="A48" s="3"/>
      <c r="B48" s="6"/>
      <c r="C48" s="1"/>
      <c r="D48" s="4"/>
      <c r="I48" s="1"/>
    </row>
    <row r="49" spans="1:9">
      <c r="A49" s="3"/>
      <c r="I49" s="1"/>
    </row>
    <row r="50" spans="1:9">
      <c r="A50" s="26"/>
      <c r="B50" s="26"/>
      <c r="C50" s="26"/>
      <c r="D50" s="11"/>
      <c r="I50" s="1"/>
    </row>
    <row r="51" spans="1:9" ht="13.5" thickBot="1">
      <c r="D51" s="12">
        <f>D46+D42</f>
        <v>-4.0745362639427185E-10</v>
      </c>
    </row>
    <row r="52" spans="1:9" ht="13.5" thickTop="1"/>
  </sheetData>
  <mergeCells count="1">
    <mergeCell ref="A50:C50"/>
  </mergeCells>
  <conditionalFormatting sqref="D51">
    <cfRule type="expression" dxfId="8" priority="3">
      <formula>$D$46&lt;&gt;-$D$42</formula>
    </cfRule>
  </conditionalFormatting>
  <conditionalFormatting sqref="A32:A33 A35:A39">
    <cfRule type="expression" dxfId="7" priority="2">
      <formula>A32&lt;&gt;""</formula>
    </cfRule>
  </conditionalFormatting>
  <conditionalFormatting sqref="B32:B33 B35:B39 B23">
    <cfRule type="expression" dxfId="6" priority="1">
      <formula>A23&lt;&gt;""</formula>
    </cfRule>
  </conditionalFormatting>
  <dataValidations count="1">
    <dataValidation type="custom" allowBlank="1" showInputMessage="1" showErrorMessage="1" sqref="C12:C14" xr:uid="{D8F4EE49-A481-4718-8C80-FEFADC5394E3}">
      <formula1>C12&lt;0</formula1>
    </dataValidation>
  </dataValidations>
  <pageMargins left="1.085" right="0.7" top="0.75" bottom="0.75" header="0.3" footer="0.3"/>
  <pageSetup scale="8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7457" r:id="rId4" name="Button 1">
              <controlPr defaultSize="0" print="0" autoFill="0" autoPict="0" macro="[0]!BNZRec">
                <anchor>
                  <from>
                    <xdr:col>2</xdr:col>
                    <xdr:colOff>9525</xdr:colOff>
                    <xdr:row>1</xdr:row>
                    <xdr:rowOff>19050</xdr:rowOff>
                  </from>
                  <to>
                    <xdr:col>3</xdr:col>
                    <xdr:colOff>9525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6AC887-08A3-4BF4-8FDE-08A067A55E6A}">
  <sheetPr codeName="Sheet29"/>
  <dimension ref="A3:Q52"/>
  <sheetViews>
    <sheetView view="pageBreakPreview" zoomScaleNormal="100" zoomScaleSheetLayoutView="100" workbookViewId="0">
      <selection activeCell="A5" sqref="A5"/>
    </sheetView>
  </sheetViews>
  <sheetFormatPr defaultColWidth="9" defaultRowHeight="12.75"/>
  <cols>
    <col min="1" max="1" width="45.28515625" customWidth="1"/>
    <col min="2" max="2" width="14" style="1" customWidth="1"/>
    <col min="3" max="3" width="14" customWidth="1"/>
    <col min="4" max="4" width="18.42578125" customWidth="1"/>
    <col min="5" max="5" width="10.5703125" hidden="1" customWidth="1"/>
    <col min="6" max="6" width="9" hidden="1" customWidth="1"/>
    <col min="7" max="7" width="9.5703125" hidden="1" customWidth="1"/>
    <col min="9" max="9" width="12.42578125" customWidth="1"/>
    <col min="10" max="10" width="14.5703125" customWidth="1"/>
    <col min="11" max="11" width="13" customWidth="1"/>
    <col min="12" max="12" width="10.5703125" customWidth="1"/>
    <col min="17" max="17" width="11.5703125" customWidth="1"/>
  </cols>
  <sheetData>
    <row r="3" spans="1:17" ht="15.75">
      <c r="D3" s="2" t="s">
        <v>0</v>
      </c>
    </row>
    <row r="6" spans="1:17">
      <c r="A6" s="3"/>
      <c r="B6" s="4" t="s">
        <v>1</v>
      </c>
      <c r="C6" s="4" t="s">
        <v>2</v>
      </c>
      <c r="D6" s="4" t="s">
        <v>3</v>
      </c>
    </row>
    <row r="7" spans="1:17">
      <c r="A7" s="3"/>
      <c r="B7" s="4"/>
      <c r="C7" s="4"/>
      <c r="D7" s="4"/>
      <c r="J7" s="13"/>
    </row>
    <row r="8" spans="1:17">
      <c r="A8" s="17" t="s">
        <v>26</v>
      </c>
      <c r="B8" s="4"/>
      <c r="C8" s="4"/>
      <c r="D8" s="4">
        <v>-206518.86000000036</v>
      </c>
      <c r="I8" t="s">
        <v>4</v>
      </c>
      <c r="J8" s="1"/>
    </row>
    <row r="9" spans="1:17">
      <c r="A9" t="s">
        <v>5</v>
      </c>
      <c r="C9" s="1"/>
      <c r="D9" s="1"/>
    </row>
    <row r="10" spans="1:17">
      <c r="A10" s="3" t="s">
        <v>6</v>
      </c>
      <c r="D10" s="1"/>
      <c r="Q10" s="7"/>
    </row>
    <row r="11" spans="1:17">
      <c r="A11" s="3"/>
      <c r="C11" s="1"/>
      <c r="D11" s="1"/>
      <c r="Q11" s="7"/>
    </row>
    <row r="12" spans="1:17">
      <c r="A12" s="5" t="s">
        <v>7</v>
      </c>
      <c r="C12" s="23">
        <v>-10344.48</v>
      </c>
      <c r="D12" s="1"/>
      <c r="I12" t="s">
        <v>8</v>
      </c>
      <c r="J12" s="1"/>
      <c r="Q12" s="1"/>
    </row>
    <row r="13" spans="1:17" ht="12.75" customHeight="1">
      <c r="A13" s="18" t="s">
        <v>23</v>
      </c>
      <c r="C13" s="23"/>
      <c r="D13" s="7"/>
    </row>
    <row r="14" spans="1:17" ht="12.75" customHeight="1">
      <c r="A14" t="s">
        <v>9</v>
      </c>
      <c r="C14" s="23"/>
      <c r="D14" s="1"/>
    </row>
    <row r="15" spans="1:17" ht="12.75" customHeight="1">
      <c r="C15" s="1"/>
      <c r="D15" s="1"/>
    </row>
    <row r="16" spans="1:17" ht="12.75" customHeight="1">
      <c r="D16" s="1"/>
    </row>
    <row r="17" spans="1:16">
      <c r="A17" s="3"/>
      <c r="C17" s="1"/>
      <c r="D17" s="1"/>
      <c r="G17">
        <v>2395.9299999999998</v>
      </c>
    </row>
    <row r="18" spans="1:16">
      <c r="A18" s="3" t="s">
        <v>10</v>
      </c>
      <c r="B18" s="6"/>
      <c r="C18" s="1"/>
      <c r="D18" s="1"/>
      <c r="G18">
        <f>SUM(G13:G17)</f>
        <v>2395.9299999999998</v>
      </c>
      <c r="I18" t="s">
        <v>11</v>
      </c>
    </row>
    <row r="19" spans="1:16">
      <c r="A19" t="s">
        <v>12</v>
      </c>
      <c r="B19" s="23"/>
      <c r="C19" s="1"/>
      <c r="D19" s="1"/>
      <c r="G19" t="e">
        <f>#REF!-G18</f>
        <v>#REF!</v>
      </c>
    </row>
    <row r="20" spans="1:16">
      <c r="A20" t="s">
        <v>13</v>
      </c>
      <c r="B20" s="23"/>
      <c r="C20" s="1"/>
      <c r="D20" s="1"/>
    </row>
    <row r="21" spans="1:16">
      <c r="A21" t="s">
        <v>14</v>
      </c>
      <c r="B21" s="23">
        <v>477.38</v>
      </c>
      <c r="C21" s="1"/>
      <c r="D21" s="1"/>
    </row>
    <row r="22" spans="1:16">
      <c r="A22" t="s">
        <v>14</v>
      </c>
      <c r="B22" s="23">
        <v>11815.92</v>
      </c>
      <c r="C22" s="1"/>
      <c r="D22" s="1"/>
    </row>
    <row r="23" spans="1:16">
      <c r="A23" t="s">
        <v>25</v>
      </c>
      <c r="B23" s="23"/>
      <c r="D23" s="1"/>
    </row>
    <row r="24" spans="1:16">
      <c r="A24" s="18" t="s">
        <v>24</v>
      </c>
      <c r="B24" s="23"/>
      <c r="D24" s="1"/>
      <c r="J24" s="1"/>
    </row>
    <row r="25" spans="1:16">
      <c r="A25" t="s">
        <v>15</v>
      </c>
      <c r="B25" s="23"/>
      <c r="D25" s="1"/>
      <c r="F25" s="1"/>
      <c r="H25" s="1"/>
      <c r="I25" s="1"/>
    </row>
    <row r="26" spans="1:16">
      <c r="A26" t="s">
        <v>16</v>
      </c>
      <c r="B26" s="23"/>
      <c r="D26" s="1"/>
      <c r="F26" s="1"/>
      <c r="H26" s="1"/>
      <c r="I26" s="1"/>
    </row>
    <row r="27" spans="1:16">
      <c r="A27" s="3" t="s">
        <v>17</v>
      </c>
      <c r="B27" s="19">
        <f>SUM(B19:B26)</f>
        <v>12293.3</v>
      </c>
      <c r="C27" s="1"/>
      <c r="D27" s="1"/>
      <c r="E27" s="1">
        <f>108731.03-B27</f>
        <v>96437.73</v>
      </c>
    </row>
    <row r="28" spans="1:16">
      <c r="B28" s="6"/>
      <c r="C28" s="1"/>
      <c r="D28" s="1"/>
    </row>
    <row r="29" spans="1:16" ht="15">
      <c r="A29" s="22" t="s">
        <v>27</v>
      </c>
      <c r="B29" s="6"/>
      <c r="C29" s="1"/>
      <c r="D29" s="4">
        <f>D8+B27+C12+C13+C14+C15</f>
        <v>-204570.04000000039</v>
      </c>
      <c r="E29" s="1"/>
      <c r="F29" s="1"/>
      <c r="I29" s="1" t="s">
        <v>18</v>
      </c>
      <c r="L29" s="1"/>
      <c r="O29" s="14"/>
      <c r="P29" s="7"/>
    </row>
    <row r="30" spans="1:16" ht="15">
      <c r="B30" s="6"/>
      <c r="C30" s="1"/>
      <c r="D30" s="1"/>
      <c r="I30" s="1"/>
      <c r="O30" s="14"/>
      <c r="P30" s="7"/>
    </row>
    <row r="31" spans="1:16" ht="15">
      <c r="A31" s="3" t="s">
        <v>19</v>
      </c>
      <c r="B31" s="6"/>
      <c r="C31" s="1"/>
      <c r="D31" s="1"/>
      <c r="I31" s="1"/>
      <c r="O31" s="14"/>
      <c r="P31" s="7"/>
    </row>
    <row r="32" spans="1:16" ht="15">
      <c r="A32" s="18"/>
      <c r="B32" s="6"/>
      <c r="C32" s="1"/>
      <c r="D32" s="1"/>
      <c r="I32" s="1"/>
      <c r="O32" s="14"/>
      <c r="P32" s="7"/>
    </row>
    <row r="33" spans="1:13">
      <c r="A33" s="18"/>
      <c r="B33" s="20"/>
      <c r="C33" s="1"/>
      <c r="D33" s="1"/>
      <c r="K33" s="1"/>
    </row>
    <row r="34" spans="1:13">
      <c r="C34" s="1"/>
      <c r="D34" s="1"/>
      <c r="K34" s="1"/>
    </row>
    <row r="35" spans="1:13">
      <c r="A35" s="18"/>
      <c r="B35" s="6"/>
      <c r="D35" s="1"/>
      <c r="K35" s="1"/>
    </row>
    <row r="36" spans="1:13">
      <c r="B36" s="6"/>
      <c r="C36" s="1"/>
      <c r="D36" s="1"/>
      <c r="K36" s="1"/>
    </row>
    <row r="37" spans="1:13">
      <c r="B37" s="6"/>
      <c r="C37" s="1"/>
      <c r="D37" s="1"/>
      <c r="K37" s="1"/>
    </row>
    <row r="38" spans="1:13">
      <c r="B38" s="6"/>
      <c r="C38" s="1"/>
      <c r="D38" s="1"/>
      <c r="K38" s="21"/>
    </row>
    <row r="39" spans="1:13">
      <c r="A39" s="3"/>
      <c r="B39" s="6"/>
      <c r="C39" s="1"/>
      <c r="D39" s="1"/>
      <c r="K39" s="1"/>
    </row>
    <row r="40" spans="1:13">
      <c r="A40" s="3" t="s">
        <v>20</v>
      </c>
      <c r="B40" s="4">
        <f>SUM(B32:B39)</f>
        <v>0</v>
      </c>
      <c r="C40" s="1"/>
      <c r="D40" s="1"/>
    </row>
    <row r="41" spans="1:13">
      <c r="A41" s="5"/>
      <c r="C41" s="1"/>
      <c r="D41" s="1"/>
      <c r="J41" s="15"/>
    </row>
    <row r="42" spans="1:13">
      <c r="A42" s="3" t="s">
        <v>28</v>
      </c>
      <c r="C42" s="1"/>
      <c r="D42" s="4">
        <f>D29+B40</f>
        <v>-204570.04000000039</v>
      </c>
      <c r="J42" t="s">
        <v>21</v>
      </c>
      <c r="K42" s="16">
        <f>D42+D46</f>
        <v>-3.7834979593753815E-10</v>
      </c>
      <c r="L42" t="b">
        <f>K42=M42</f>
        <v>0</v>
      </c>
      <c r="M42">
        <v>0</v>
      </c>
    </row>
    <row r="43" spans="1:13" ht="12.75" hidden="1" customHeight="1">
      <c r="A43" s="3"/>
      <c r="C43" s="1"/>
      <c r="D43" s="1"/>
    </row>
    <row r="44" spans="1:13">
      <c r="A44" s="8"/>
      <c r="B44" s="9"/>
      <c r="C44" s="9"/>
      <c r="D44" s="9"/>
      <c r="E44" s="10"/>
      <c r="F44" s="10"/>
      <c r="G44" s="10"/>
      <c r="H44" s="10"/>
    </row>
    <row r="45" spans="1:13">
      <c r="A45" s="3"/>
      <c r="C45" s="1"/>
      <c r="D45" s="1"/>
    </row>
    <row r="46" spans="1:13">
      <c r="A46" s="3" t="s">
        <v>29</v>
      </c>
      <c r="B46" s="1" t="s">
        <v>22</v>
      </c>
      <c r="C46" s="1"/>
      <c r="D46" s="24">
        <v>204570.04</v>
      </c>
    </row>
    <row r="47" spans="1:13">
      <c r="A47" s="3"/>
      <c r="C47" s="1"/>
      <c r="D47" s="1"/>
    </row>
    <row r="48" spans="1:13">
      <c r="A48" s="3"/>
      <c r="B48" s="6"/>
      <c r="C48" s="1"/>
      <c r="D48" s="4"/>
      <c r="I48" s="1"/>
    </row>
    <row r="49" spans="1:9">
      <c r="A49" s="3"/>
      <c r="I49" s="1"/>
    </row>
    <row r="50" spans="1:9">
      <c r="A50" s="26"/>
      <c r="B50" s="26"/>
      <c r="C50" s="26"/>
      <c r="D50" s="11"/>
      <c r="I50" s="1"/>
    </row>
    <row r="51" spans="1:9" ht="13.5" thickBot="1">
      <c r="D51" s="12">
        <f>D46+D42</f>
        <v>-3.7834979593753815E-10</v>
      </c>
    </row>
    <row r="52" spans="1:9" ht="13.5" thickTop="1"/>
  </sheetData>
  <mergeCells count="1">
    <mergeCell ref="A50:C50"/>
  </mergeCells>
  <conditionalFormatting sqref="D51">
    <cfRule type="expression" dxfId="5" priority="3">
      <formula>$D$46&lt;&gt;-$D$42</formula>
    </cfRule>
  </conditionalFormatting>
  <conditionalFormatting sqref="A32:A33 A35:A39">
    <cfRule type="expression" dxfId="4" priority="2">
      <formula>A32&lt;&gt;""</formula>
    </cfRule>
  </conditionalFormatting>
  <conditionalFormatting sqref="B32:B33 B35:B39 B23">
    <cfRule type="expression" dxfId="3" priority="1">
      <formula>A23&lt;&gt;""</formula>
    </cfRule>
  </conditionalFormatting>
  <dataValidations count="1">
    <dataValidation type="custom" allowBlank="1" showInputMessage="1" showErrorMessage="1" sqref="C12:C14" xr:uid="{18E47D80-54A1-4475-8D76-784D48462FAB}">
      <formula1>C12&lt;0</formula1>
    </dataValidation>
  </dataValidations>
  <pageMargins left="1.085" right="0.7" top="0.75" bottom="0.75" header="0.3" footer="0.3"/>
  <pageSetup scale="8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9265" r:id="rId4" name="Button 1">
              <controlPr defaultSize="0" print="0" autoFill="0" autoPict="0" macro="[0]!BNZRec">
                <anchor>
                  <from>
                    <xdr:col>2</xdr:col>
                    <xdr:colOff>9525</xdr:colOff>
                    <xdr:row>1</xdr:row>
                    <xdr:rowOff>19050</xdr:rowOff>
                  </from>
                  <to>
                    <xdr:col>3</xdr:col>
                    <xdr:colOff>9525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13Jul</vt:lpstr>
      <vt:lpstr>9Jul</vt:lpstr>
      <vt:lpstr>30Jun</vt:lpstr>
      <vt:lpstr>'13Jul'!Print_Area</vt:lpstr>
      <vt:lpstr>'30Jun'!Print_Area</vt:lpstr>
      <vt:lpstr>'9Jul'!Print_Area</vt:lpstr>
    </vt:vector>
  </TitlesOfParts>
  <Company>AWPL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</dc:creator>
  <cp:lastModifiedBy>M</cp:lastModifiedBy>
  <cp:lastPrinted>2021-07-01T00:09:37Z</cp:lastPrinted>
  <dcterms:created xsi:type="dcterms:W3CDTF">2017-04-04T01:20:00Z</dcterms:created>
  <dcterms:modified xsi:type="dcterms:W3CDTF">2021-07-13T23:08:12Z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1033-11.2.0.9635</vt:lpwstr>
  </property>
</Properties>
</file>