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G:\Finance Team\Data Entry\Star Track\2021\"/>
    </mc:Choice>
  </mc:AlternateContent>
  <xr:revisionPtr revIDLastSave="0" documentId="13_ncr:1_{4937B1C4-F8B2-4A12-AB28-68DF48084F2C}" xr6:coauthVersionLast="45" xr6:coauthVersionMax="47" xr10:uidLastSave="{00000000-0000-0000-0000-000000000000}"/>
  <bookViews>
    <workbookView xWindow="-120" yWindow="-120" windowWidth="24240" windowHeight="13140" tabRatio="479" xr2:uid="{00000000-000D-0000-FFFF-FFFF00000000}"/>
  </bookViews>
  <sheets>
    <sheet name="Star Track" sheetId="1" r:id="rId1"/>
    <sheet name="JSMC on-cost" sheetId="2" r:id="rId2"/>
  </sheets>
  <externalReferences>
    <externalReference r:id="rId3"/>
  </externalReferences>
  <definedNames>
    <definedName name="_xlnm._FilterDatabase" localSheetId="0" hidden="1">'Star Track'!$A$6:$BU$10</definedName>
    <definedName name="GLGST">'Star Track'!#REF!</definedName>
    <definedName name="GLTotal">'Star Track'!#REF!</definedName>
    <definedName name="_xlnm.Print_Area" localSheetId="0">'Star Track'!$A$1:$H$3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" l="1"/>
  <c r="D2" i="2"/>
  <c r="D3" i="2"/>
  <c r="D4" i="2"/>
  <c r="D5" i="2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1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R7" i="1"/>
  <c r="R8" i="1"/>
  <c r="R9" i="1"/>
  <c r="J9" i="1" s="1"/>
  <c r="R10" i="1"/>
  <c r="R11" i="1"/>
  <c r="R12" i="1"/>
  <c r="R13" i="1"/>
  <c r="J13" i="1" s="1"/>
  <c r="R14" i="1"/>
  <c r="R15" i="1"/>
  <c r="R16" i="1"/>
  <c r="R17" i="1"/>
  <c r="R18" i="1"/>
  <c r="R19" i="1"/>
  <c r="R20" i="1"/>
  <c r="R21" i="1"/>
  <c r="J21" i="1" s="1"/>
  <c r="R22" i="1"/>
  <c r="R23" i="1"/>
  <c r="R24" i="1"/>
  <c r="R25" i="1"/>
  <c r="J25" i="1" s="1"/>
  <c r="R26" i="1"/>
  <c r="R27" i="1"/>
  <c r="R28" i="1"/>
  <c r="R29" i="1"/>
  <c r="J29" i="1" s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O7" i="1"/>
  <c r="P7" i="1" s="1"/>
  <c r="O11" i="1"/>
  <c r="P11" i="1" s="1"/>
  <c r="O15" i="1"/>
  <c r="P15" i="1" s="1"/>
  <c r="O19" i="1"/>
  <c r="P19" i="1" s="1"/>
  <c r="O23" i="1"/>
  <c r="P23" i="1" s="1"/>
  <c r="O27" i="1"/>
  <c r="P27" i="1" s="1"/>
  <c r="O30" i="1"/>
  <c r="P30" i="1" s="1"/>
  <c r="O31" i="1"/>
  <c r="D31" i="1" s="1"/>
  <c r="N7" i="1"/>
  <c r="N8" i="1"/>
  <c r="O8" i="1" s="1"/>
  <c r="P8" i="1" s="1"/>
  <c r="N9" i="1"/>
  <c r="O9" i="1" s="1"/>
  <c r="P9" i="1" s="1"/>
  <c r="N10" i="1"/>
  <c r="O10" i="1" s="1"/>
  <c r="P10" i="1" s="1"/>
  <c r="N11" i="1"/>
  <c r="N12" i="1"/>
  <c r="O12" i="1" s="1"/>
  <c r="P12" i="1" s="1"/>
  <c r="N13" i="1"/>
  <c r="O13" i="1" s="1"/>
  <c r="P13" i="1" s="1"/>
  <c r="N14" i="1"/>
  <c r="O14" i="1" s="1"/>
  <c r="P14" i="1" s="1"/>
  <c r="N15" i="1"/>
  <c r="N16" i="1"/>
  <c r="O16" i="1" s="1"/>
  <c r="P16" i="1" s="1"/>
  <c r="N17" i="1"/>
  <c r="O17" i="1" s="1"/>
  <c r="P17" i="1" s="1"/>
  <c r="N18" i="1"/>
  <c r="O18" i="1" s="1"/>
  <c r="P18" i="1" s="1"/>
  <c r="N19" i="1"/>
  <c r="N20" i="1"/>
  <c r="O20" i="1" s="1"/>
  <c r="P20" i="1" s="1"/>
  <c r="N21" i="1"/>
  <c r="O21" i="1" s="1"/>
  <c r="P21" i="1" s="1"/>
  <c r="N22" i="1"/>
  <c r="O22" i="1" s="1"/>
  <c r="P22" i="1" s="1"/>
  <c r="N23" i="1"/>
  <c r="N24" i="1"/>
  <c r="O24" i="1" s="1"/>
  <c r="P24" i="1" s="1"/>
  <c r="N25" i="1"/>
  <c r="O25" i="1" s="1"/>
  <c r="P25" i="1" s="1"/>
  <c r="N26" i="1"/>
  <c r="O26" i="1" s="1"/>
  <c r="P26" i="1" s="1"/>
  <c r="N27" i="1"/>
  <c r="N28" i="1"/>
  <c r="O28" i="1" s="1"/>
  <c r="P28" i="1" s="1"/>
  <c r="N29" i="1"/>
  <c r="O29" i="1" s="1"/>
  <c r="P29" i="1" s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J7" i="1"/>
  <c r="J8" i="1"/>
  <c r="J10" i="1"/>
  <c r="J11" i="1"/>
  <c r="J12" i="1"/>
  <c r="J22" i="1"/>
  <c r="J23" i="1"/>
  <c r="J24" i="1"/>
  <c r="J26" i="1"/>
  <c r="J27" i="1"/>
  <c r="J28" i="1"/>
  <c r="E39" i="1" l="1"/>
  <c r="C30" i="1"/>
  <c r="D30" i="1"/>
  <c r="D39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</author>
  </authors>
  <commentList>
    <comment ref="K3" authorId="0" shapeId="0" xr:uid="{12B549AF-EC7F-4C10-9E92-74B524D0BBBC}">
      <text>
        <r>
          <rPr>
            <b/>
            <sz val="9"/>
            <color indexed="81"/>
            <rFont val="Tahoma"/>
            <family val="2"/>
          </rPr>
          <t>M:</t>
        </r>
        <r>
          <rPr>
            <sz val="9"/>
            <color indexed="81"/>
            <rFont val="Tahoma"/>
            <family val="2"/>
          </rPr>
          <t xml:space="preserve">
2011 stcok; 3095:signage, other expenses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A80828-FC91-4C29-B16B-4F6685B76BC6}" keepAlive="1" name="Query - 1010729927700300000406" description="Connection to the '1010729927700300000406' query in the workbook." type="5" refreshedVersion="6" background="1">
    <dbPr connection="Provider=Microsoft.Mashup.OleDb.1;Data Source=$Workbook$;Location=1010729927700300000406;Extended Properties=&quot;&quot;" command="SELECT * FROM [1010729927700300000406]"/>
  </connection>
</connections>
</file>

<file path=xl/sharedStrings.xml><?xml version="1.0" encoding="utf-8"?>
<sst xmlns="http://schemas.openxmlformats.org/spreadsheetml/2006/main" count="940" uniqueCount="199">
  <si>
    <t>Acc# 1992</t>
  </si>
  <si>
    <t>Journal</t>
  </si>
  <si>
    <t>exc GST</t>
  </si>
  <si>
    <t>GL</t>
  </si>
  <si>
    <t>A/C No</t>
  </si>
  <si>
    <t>GST</t>
  </si>
  <si>
    <t>Inc</t>
  </si>
  <si>
    <t>Employee</t>
  </si>
  <si>
    <t>EXP CODE</t>
  </si>
  <si>
    <t>AMOUNT</t>
  </si>
  <si>
    <t>FUEL</t>
  </si>
  <si>
    <t>SECURITY</t>
  </si>
  <si>
    <t>TRIM SPACES</t>
  </si>
  <si>
    <t xml:space="preserve">   </t>
  </si>
  <si>
    <t>S</t>
  </si>
  <si>
    <t xml:space="preserve">                    </t>
  </si>
  <si>
    <t xml:space="preserve"> </t>
  </si>
  <si>
    <t>N</t>
  </si>
  <si>
    <t>MISC</t>
  </si>
  <si>
    <t>STORE RMS</t>
  </si>
  <si>
    <t xml:space="preserve">                                        </t>
  </si>
  <si>
    <t xml:space="preserve">              </t>
  </si>
  <si>
    <t>MEL</t>
  </si>
  <si>
    <t>ITEM CODE</t>
  </si>
  <si>
    <t>GEN</t>
  </si>
  <si>
    <t>ACC/NUMBER</t>
  </si>
  <si>
    <t>UNIT</t>
  </si>
  <si>
    <t>RATE</t>
  </si>
  <si>
    <t>GST CODE</t>
  </si>
  <si>
    <t>INCLUSIVE</t>
  </si>
  <si>
    <t>NARRATIVE 1</t>
  </si>
  <si>
    <t>NARRATIVE 2</t>
  </si>
  <si>
    <t>NARRATIVE 3</t>
  </si>
  <si>
    <t>C</t>
  </si>
  <si>
    <t xml:space="preserve">      </t>
  </si>
  <si>
    <t xml:space="preserve">        </t>
  </si>
  <si>
    <t>DAR</t>
  </si>
  <si>
    <t>EXP</t>
  </si>
  <si>
    <t xml:space="preserve">NEWS TRAVELS DARWI DARWIN DC      </t>
  </si>
  <si>
    <t xml:space="preserve">NEWS TRAVELS DARWIN - 8188              </t>
  </si>
  <si>
    <t xml:space="preserve">DOMESTIC DEPARTURES LVL2                </t>
  </si>
  <si>
    <t xml:space="preserve">DARWIN INTERNATIONAL AIRP               </t>
  </si>
  <si>
    <t xml:space="preserve">DARWIN DC                     </t>
  </si>
  <si>
    <t>Y</t>
  </si>
  <si>
    <t>HOB</t>
  </si>
  <si>
    <t xml:space="preserve">CAMBRIDGE                     </t>
  </si>
  <si>
    <t xml:space="preserve">RUNWAY NEWS HOBART CAMBRIDGE      </t>
  </si>
  <si>
    <t xml:space="preserve">RUNWAY NEWS HOBART                      </t>
  </si>
  <si>
    <t xml:space="preserve">SHOP1 HOBART INTERNATIONAL AIRPORT      </t>
  </si>
  <si>
    <t>Narrative 1</t>
  </si>
  <si>
    <t>Narrative 2</t>
  </si>
  <si>
    <t>Narrative 3</t>
  </si>
  <si>
    <t>CBR</t>
  </si>
  <si>
    <t>AWWZ00047955</t>
  </si>
  <si>
    <t xml:space="preserve">        UGGS</t>
  </si>
  <si>
    <t xml:space="preserve">2225 - NEWS@CANBER CANBERRA AI    </t>
  </si>
  <si>
    <t xml:space="preserve">2225 - NEWS@CANBERRA AIRPORT            </t>
  </si>
  <si>
    <t xml:space="preserve">TENANCY 206/207                         </t>
  </si>
  <si>
    <t xml:space="preserve">TERMINAL CIRCUIT                        </t>
  </si>
  <si>
    <t xml:space="preserve">CANBERRA AIRPORT              </t>
  </si>
  <si>
    <t>A</t>
  </si>
  <si>
    <t xml:space="preserve">BOZANA B            </t>
  </si>
  <si>
    <t xml:space="preserve">UGGS                </t>
  </si>
  <si>
    <t>AWWZ00047955_MEL1606K270007001</t>
  </si>
  <si>
    <t>AWWZ00047959</t>
  </si>
  <si>
    <t xml:space="preserve">     READERS</t>
  </si>
  <si>
    <t xml:space="preserve">DOLLIE T            </t>
  </si>
  <si>
    <t xml:space="preserve">READERS             </t>
  </si>
  <si>
    <t>AWWZ00047959_MEL1606K270011001</t>
  </si>
  <si>
    <t>AWWZ00047966</t>
  </si>
  <si>
    <t>AWWZ00047966_MEL1806HX10004001</t>
  </si>
  <si>
    <t>AWWZ00047969</t>
  </si>
  <si>
    <t xml:space="preserve">       3UGGS</t>
  </si>
  <si>
    <t xml:space="preserve">3 UGGS              </t>
  </si>
  <si>
    <t>AWWZ00047969_MEL2106ID50002001</t>
  </si>
  <si>
    <t>AWWZ00047960</t>
  </si>
  <si>
    <t xml:space="preserve"> M/FOAMPILLO</t>
  </si>
  <si>
    <t xml:space="preserve">SHADE S             </t>
  </si>
  <si>
    <t xml:space="preserve">M/FOAM PILLO        </t>
  </si>
  <si>
    <t>AWWZ00047960_MEL1606K270012001</t>
  </si>
  <si>
    <t>AWWZ00047952</t>
  </si>
  <si>
    <t xml:space="preserve">AUSTRALIAN WAY HOB CAMBRIDGE      </t>
  </si>
  <si>
    <t xml:space="preserve">AUSTRALIAN WAY HOBART - 7641            </t>
  </si>
  <si>
    <t xml:space="preserve">INTERNATIONAL                           </t>
  </si>
  <si>
    <t xml:space="preserve">RETAIL 6 HOBART INTERNAT                </t>
  </si>
  <si>
    <t xml:space="preserve">AIRPORT STRACHEN STREET                 </t>
  </si>
  <si>
    <t xml:space="preserve">HAWKINS A           </t>
  </si>
  <si>
    <t>AWWZ00047952_MEL1606K270004001</t>
  </si>
  <si>
    <t>AWWZ00047956</t>
  </si>
  <si>
    <t>AWWZ00047956_MEL1606K270008001</t>
  </si>
  <si>
    <t>AWWZ00047963</t>
  </si>
  <si>
    <t xml:space="preserve">BLOOMFEILD A        </t>
  </si>
  <si>
    <t>AWWZ00047963_MEL1806HX10001001</t>
  </si>
  <si>
    <t>LA1</t>
  </si>
  <si>
    <t>LOC</t>
  </si>
  <si>
    <t>AWWZ00047953</t>
  </si>
  <si>
    <t xml:space="preserve"> SLIP/PILLOW</t>
  </si>
  <si>
    <t xml:space="preserve">AUSTRALIAN WAY DOM MELBOURNE A    </t>
  </si>
  <si>
    <t xml:space="preserve">AUSTRALIAN WAY DOM                      </t>
  </si>
  <si>
    <t xml:space="preserve">SHOP R1.16 &amp; R1.17                      </t>
  </si>
  <si>
    <t xml:space="preserve">LVL 1  T1 QANTAS DOM TERM.              </t>
  </si>
  <si>
    <t xml:space="preserve">MELBOURNE AIRPORT             </t>
  </si>
  <si>
    <t xml:space="preserve">CATHERINE C         </t>
  </si>
  <si>
    <t xml:space="preserve">SLIP/PILLOW         </t>
  </si>
  <si>
    <t>AWWZ00047953_MEL1606K270005001</t>
  </si>
  <si>
    <t>AWWZ00047965</t>
  </si>
  <si>
    <t>AWWZ00047965_MEL1806HX10003001</t>
  </si>
  <si>
    <t>FPP</t>
  </si>
  <si>
    <t>AWWZ00047970</t>
  </si>
  <si>
    <t xml:space="preserve">   JSMC-GIFT</t>
  </si>
  <si>
    <t xml:space="preserve">TRACI EATHORNE     CAMBERWELL     </t>
  </si>
  <si>
    <t xml:space="preserve">TRACI EATHORNE                          </t>
  </si>
  <si>
    <t xml:space="preserve">8 MAYFIELD AVENUE                       </t>
  </si>
  <si>
    <t xml:space="preserve">CAMBERWELL (VIC)              </t>
  </si>
  <si>
    <t xml:space="preserve">EATHORNE T          </t>
  </si>
  <si>
    <t xml:space="preserve">JSMC-GIFT           </t>
  </si>
  <si>
    <t>AWWZ00047970_MEL2106DS80001001</t>
  </si>
  <si>
    <t>AWWZ00047971</t>
  </si>
  <si>
    <t xml:space="preserve">AMANDA PHILLIPS    MELBOURNE A    </t>
  </si>
  <si>
    <t xml:space="preserve">AMANDA PHILLIPS                         </t>
  </si>
  <si>
    <t xml:space="preserve">AFS LOGISTICS                           </t>
  </si>
  <si>
    <t xml:space="preserve">LEVEL 1  115 SOUTH CENTRE ROAD          </t>
  </si>
  <si>
    <t xml:space="preserve">HOA S               </t>
  </si>
  <si>
    <t>AWWZ00047971_MEL2106DS80002001</t>
  </si>
  <si>
    <t>AWWZ00047972</t>
  </si>
  <si>
    <t xml:space="preserve">CRAIG LOVETT       DOCKLANDS      </t>
  </si>
  <si>
    <t xml:space="preserve">CRAIG LOVETT                            </t>
  </si>
  <si>
    <t xml:space="preserve">SUITE 101  LEVEL 1                      </t>
  </si>
  <si>
    <t xml:space="preserve">441 DOCKLANDS DRIVE                     </t>
  </si>
  <si>
    <t xml:space="preserve">DOCKLANDS                     </t>
  </si>
  <si>
    <t xml:space="preserve">LOVETT C            </t>
  </si>
  <si>
    <t>AWWZ00047972_MEL2106DS80003001</t>
  </si>
  <si>
    <t>MSE</t>
  </si>
  <si>
    <t>AWWZ00047973</t>
  </si>
  <si>
    <t xml:space="preserve">JASON ABSOLOM      FRANKSTON      </t>
  </si>
  <si>
    <t xml:space="preserve">JASON ABSOLOM                           </t>
  </si>
  <si>
    <t xml:space="preserve">O'BRIEN REAL ESTATE                     </t>
  </si>
  <si>
    <t xml:space="preserve">46 NORMAN AVENUE                        </t>
  </si>
  <si>
    <t xml:space="preserve">FRANKSTON                     </t>
  </si>
  <si>
    <t>AWWZ00047973_MEL2106DS80004001</t>
  </si>
  <si>
    <t>NCL</t>
  </si>
  <si>
    <t>AWWZ00047961</t>
  </si>
  <si>
    <t xml:space="preserve">     GLASSES</t>
  </si>
  <si>
    <t xml:space="preserve">NEWS TRAVELS - 245 WILLIAMTOWN    </t>
  </si>
  <si>
    <t xml:space="preserve">NEWS TRAVELS - 2450                     </t>
  </si>
  <si>
    <t xml:space="preserve">TENANCY 1                               </t>
  </si>
  <si>
    <t xml:space="preserve">NEWCASTLE AIRPORT                       </t>
  </si>
  <si>
    <t xml:space="preserve">WILLIAMTOWN                   </t>
  </si>
  <si>
    <t xml:space="preserve">PAUL P              </t>
  </si>
  <si>
    <t xml:space="preserve">GLASSES             </t>
  </si>
  <si>
    <t>AWWZ00047961_MEL1606K270013001</t>
  </si>
  <si>
    <t>PER</t>
  </si>
  <si>
    <t>AWWZ00047951</t>
  </si>
  <si>
    <t xml:space="preserve">      POSSUM</t>
  </si>
  <si>
    <t xml:space="preserve">MERCHANT PERTH DOM REDCLIFFE (    </t>
  </si>
  <si>
    <t xml:space="preserve">MERCHANT PERTH DOMESTIC - 6176          </t>
  </si>
  <si>
    <t xml:space="preserve">SHOP 2 DOMESTIC QANTAS                  </t>
  </si>
  <si>
    <t xml:space="preserve">QANTAS DOMESTIC TERMINAL                </t>
  </si>
  <si>
    <t xml:space="preserve">PERTH DOMESTIC AIRPORT                  </t>
  </si>
  <si>
    <t xml:space="preserve">REDCLIFFE (WA)                </t>
  </si>
  <si>
    <t xml:space="preserve">POSSUM              </t>
  </si>
  <si>
    <t>AWWZ00047951_MEL1606K270003001</t>
  </si>
  <si>
    <t>AWWZ00047957</t>
  </si>
  <si>
    <t xml:space="preserve">    UGGBOOTS</t>
  </si>
  <si>
    <t xml:space="preserve">UGG BOOTS           </t>
  </si>
  <si>
    <t>AWWZ00047957_MEL1606K270009001</t>
  </si>
  <si>
    <t>AWWZ00047958</t>
  </si>
  <si>
    <t>AWWZ00047958_MEL1606K270010001</t>
  </si>
  <si>
    <t>SYD</t>
  </si>
  <si>
    <t>AWWZ00047949</t>
  </si>
  <si>
    <t xml:space="preserve">2118  MERCHANT T2  MASCOT         </t>
  </si>
  <si>
    <t xml:space="preserve">2118  MERCHANT T2                       </t>
  </si>
  <si>
    <t xml:space="preserve">TENANCY 2T - 235                        </t>
  </si>
  <si>
    <t xml:space="preserve">SYDNEY DOMESTIC TERMINAL                </t>
  </si>
  <si>
    <t xml:space="preserve">MASCOT                        </t>
  </si>
  <si>
    <t xml:space="preserve">CHELSEAY C          </t>
  </si>
  <si>
    <t>AWWZ00047949_MEL1606K270001001</t>
  </si>
  <si>
    <t>AWWZ00047950</t>
  </si>
  <si>
    <t xml:space="preserve">2119 - MERCHANT SY MASCOT         </t>
  </si>
  <si>
    <t xml:space="preserve">2119 - MERCHANT SYD T3                  </t>
  </si>
  <si>
    <t xml:space="preserve">QANTAS DOMESTIC  SHOP 4                 </t>
  </si>
  <si>
    <t xml:space="preserve">SYDNEY QANTAS DOM TERM                  </t>
  </si>
  <si>
    <t xml:space="preserve">SYDNEY DOMESTIC AIRPORT                 </t>
  </si>
  <si>
    <t xml:space="preserve">SURI S              </t>
  </si>
  <si>
    <t>AWWZ00047950_MEL1606K270002001</t>
  </si>
  <si>
    <t>AWWZ00047954</t>
  </si>
  <si>
    <t>AWWZ00047954_MEL1606K270006001</t>
  </si>
  <si>
    <t>AWWZ00047964</t>
  </si>
  <si>
    <t xml:space="preserve">LISA W              </t>
  </si>
  <si>
    <t>AWWZ00047964_MEL1806HX10002001</t>
  </si>
  <si>
    <t>AWWZ00047968</t>
  </si>
  <si>
    <t xml:space="preserve">KAREN Y             </t>
  </si>
  <si>
    <t>AWWZ00047968_MEL2106ID50001001</t>
  </si>
  <si>
    <t>Star Track 21051</t>
  </si>
  <si>
    <t>TRACI EATHORNE</t>
  </si>
  <si>
    <t>JSMC-GIFT</t>
  </si>
  <si>
    <t>AMANDA PHILLIPS</t>
  </si>
  <si>
    <t>CRAIG LOVETT</t>
  </si>
  <si>
    <t>JASON ABSOLOM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</si>
</sst>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#,##0.00;\-&quot;$&quot;#,##0.00"/>
    <numFmt numFmtId="43" formatCode="_-* #,##0.00_-;\-* #,##0.00_-;_-* &quot;-&quot;??_-;_-@_-"/>
  </numFmts>
  <fonts count="12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b/>
      <u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6" fillId="0" borderId="0" applyFont="0" applyFill="0" applyBorder="0" applyAlignment="0" applyProtection="0"/>
  </cellStyleXfs>
  <cellXfs count="34">
    <xf numFmtId="0" fontId="0" fillId="0" borderId="0" xfId="0"/>
    <xf numFmtId="43" fontId="0" fillId="0" borderId="0" xfId="1" applyFont="1"/>
    <xf numFmtId="0" fontId="0" fillId="2" borderId="0" xfId="0" applyFill="1"/>
    <xf numFmtId="0" fontId="0" fillId="3" borderId="0" xfId="0" applyFill="1"/>
    <xf numFmtId="0" fontId="4" fillId="0" borderId="0" xfId="0" applyFont="1" applyAlignment="1">
      <alignment horizontal="left" vertical="top"/>
    </xf>
    <xf numFmtId="14" fontId="4" fillId="0" borderId="0" xfId="0" applyNumberFormat="1" applyFont="1" applyAlignment="1">
      <alignment horizontal="left" vertical="center"/>
    </xf>
    <xf numFmtId="43" fontId="4" fillId="0" borderId="0" xfId="1" applyFont="1" applyAlignment="1">
      <alignment horizontal="left" vertical="top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43" fontId="4" fillId="0" borderId="0" xfId="1" applyFont="1" applyAlignment="1">
      <alignment horizontal="left"/>
    </xf>
    <xf numFmtId="43" fontId="4" fillId="0" borderId="0" xfId="1" applyFont="1" applyAlignment="1">
      <alignment horizontal="left" vertical="center"/>
    </xf>
    <xf numFmtId="0" fontId="4" fillId="2" borderId="0" xfId="0" applyFont="1" applyFill="1" applyAlignment="1">
      <alignment horizontal="left"/>
    </xf>
    <xf numFmtId="0" fontId="4" fillId="3" borderId="0" xfId="0" applyFont="1" applyFill="1" applyAlignment="1">
      <alignment horizontal="left"/>
    </xf>
    <xf numFmtId="0" fontId="4" fillId="2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0" fillId="2" borderId="0" xfId="0" applyFill="1" applyAlignment="1">
      <alignment horizontal="left"/>
    </xf>
    <xf numFmtId="0" fontId="5" fillId="3" borderId="0" xfId="0" applyFont="1" applyFill="1" applyAlignment="1">
      <alignment horizontal="left"/>
    </xf>
    <xf numFmtId="0" fontId="0" fillId="0" borderId="0" xfId="0" applyFill="1"/>
    <xf numFmtId="7" fontId="0" fillId="0" borderId="0" xfId="1" applyNumberFormat="1" applyFont="1"/>
    <xf numFmtId="7" fontId="0" fillId="0" borderId="0" xfId="0" applyNumberFormat="1"/>
    <xf numFmtId="2" fontId="4" fillId="3" borderId="0" xfId="0" applyNumberFormat="1" applyFont="1" applyFill="1" applyAlignment="1">
      <alignment horizontal="left"/>
    </xf>
    <xf numFmtId="2" fontId="4" fillId="3" borderId="0" xfId="0" applyNumberFormat="1" applyFont="1" applyFill="1" applyAlignment="1">
      <alignment horizontal="left" vertical="center"/>
    </xf>
    <xf numFmtId="2" fontId="0" fillId="3" borderId="0" xfId="0" applyNumberFormat="1" applyFill="1"/>
    <xf numFmtId="2" fontId="0" fillId="0" borderId="0" xfId="0" applyNumberFormat="1"/>
    <xf numFmtId="0" fontId="10" fillId="3" borderId="0" xfId="0" applyFont="1" applyFill="1" applyAlignment="1">
      <alignment horizontal="left" vertical="center"/>
    </xf>
    <xf numFmtId="0" fontId="3" fillId="0" borderId="0" xfId="0" applyFont="1"/>
    <xf numFmtId="0" fontId="2" fillId="0" borderId="0" xfId="0" applyFont="1"/>
    <xf numFmtId="43" fontId="0" fillId="0" borderId="0" xfId="1" applyNumberFormat="1" applyFont="1"/>
    <xf numFmtId="0" fontId="3" fillId="0" borderId="0" xfId="0" applyFont="1" applyFill="1"/>
    <xf numFmtId="2" fontId="0" fillId="0" borderId="0" xfId="0" applyNumberFormat="1" applyFill="1"/>
    <xf numFmtId="2" fontId="5" fillId="0" borderId="0" xfId="0" applyNumberFormat="1" applyFont="1"/>
    <xf numFmtId="2" fontId="1" fillId="0" borderId="0" xfId="0" applyNumberFormat="1" applyFont="1"/>
    <xf numFmtId="0" fontId="11" fillId="4" borderId="0" xfId="0" applyFont="1" applyFill="1"/>
    <xf numFmtId="2" fontId="11" fillId="4" borderId="0" xfId="0" applyNumberFormat="1" applyFont="1" applyFill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457200</xdr:colOff>
          <xdr:row>0</xdr:row>
          <xdr:rowOff>123825</xdr:rowOff>
        </xdr:from>
        <xdr:to>
          <xdr:col>24</xdr:col>
          <xdr:colOff>428625</xdr:colOff>
          <xdr:row>2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Import &amp; Process</a:t>
              </a: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542925</xdr:colOff>
          <xdr:row>1</xdr:row>
          <xdr:rowOff>28575</xdr:rowOff>
        </xdr:from>
        <xdr:to>
          <xdr:col>12</xdr:col>
          <xdr:colOff>228600</xdr:colOff>
          <xdr:row>5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Press Button to Fill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JSMC on-cost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inance%20Team/BANK/Store%20Numbers%20RMS%20Finance%20On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3">
          <cell r="C3" t="str">
            <v>RMS store #</v>
          </cell>
          <cell r="D3" t="str">
            <v>Finance One store #</v>
          </cell>
        </row>
        <row r="4">
          <cell r="C4">
            <v>9990</v>
          </cell>
          <cell r="D4">
            <v>9990</v>
          </cell>
        </row>
        <row r="7">
          <cell r="C7">
            <v>2004</v>
          </cell>
          <cell r="D7" t="str">
            <v>CLOSED2004</v>
          </cell>
        </row>
        <row r="8">
          <cell r="C8">
            <v>2009</v>
          </cell>
          <cell r="D8" t="str">
            <v>CLOSED2009</v>
          </cell>
        </row>
        <row r="9">
          <cell r="C9">
            <v>2105</v>
          </cell>
          <cell r="D9" t="str">
            <v>CLOSED2105</v>
          </cell>
        </row>
        <row r="10">
          <cell r="C10">
            <v>2121</v>
          </cell>
          <cell r="D10" t="str">
            <v>CLOSED2012</v>
          </cell>
        </row>
        <row r="11">
          <cell r="C11">
            <v>2012</v>
          </cell>
          <cell r="D11" t="str">
            <v>CLOSED2012</v>
          </cell>
        </row>
        <row r="12">
          <cell r="C12">
            <v>2133</v>
          </cell>
          <cell r="D12" t="str">
            <v>CLOSED2013</v>
          </cell>
        </row>
        <row r="13">
          <cell r="C13">
            <v>2013</v>
          </cell>
          <cell r="D13" t="str">
            <v>CLOSED2013</v>
          </cell>
        </row>
        <row r="14">
          <cell r="C14">
            <v>2117</v>
          </cell>
          <cell r="D14">
            <v>2117</v>
          </cell>
        </row>
        <row r="15">
          <cell r="C15">
            <v>2118</v>
          </cell>
          <cell r="D15">
            <v>2118</v>
          </cell>
        </row>
        <row r="16">
          <cell r="C16">
            <v>2119</v>
          </cell>
          <cell r="D16">
            <v>2119</v>
          </cell>
        </row>
        <row r="17">
          <cell r="C17">
            <v>2526</v>
          </cell>
          <cell r="D17" t="str">
            <v>CLOSED2052</v>
          </cell>
        </row>
        <row r="18">
          <cell r="C18">
            <v>2554</v>
          </cell>
          <cell r="D18" t="str">
            <v>CLOSED2055</v>
          </cell>
        </row>
        <row r="19">
          <cell r="C19">
            <v>2563</v>
          </cell>
          <cell r="D19" t="str">
            <v>CLOSED2056</v>
          </cell>
        </row>
        <row r="20">
          <cell r="C20">
            <v>2445</v>
          </cell>
          <cell r="D20" t="str">
            <v>CLOSED2044</v>
          </cell>
        </row>
        <row r="21">
          <cell r="C21">
            <v>2207</v>
          </cell>
          <cell r="D21" t="str">
            <v>CLOSED2207</v>
          </cell>
        </row>
        <row r="22">
          <cell r="C22">
            <v>2150</v>
          </cell>
          <cell r="D22" t="str">
            <v>CLOSED2150</v>
          </cell>
        </row>
        <row r="23">
          <cell r="C23">
            <v>2450</v>
          </cell>
          <cell r="D23">
            <v>2450</v>
          </cell>
        </row>
        <row r="24">
          <cell r="C24">
            <v>2126</v>
          </cell>
          <cell r="D24" t="str">
            <v>CLOSED2126</v>
          </cell>
        </row>
        <row r="25">
          <cell r="C25">
            <v>2127</v>
          </cell>
          <cell r="D25" t="str">
            <v>CLOSED2127</v>
          </cell>
        </row>
        <row r="26">
          <cell r="C26">
            <v>2128</v>
          </cell>
          <cell r="D26" t="str">
            <v>CLOSED2128</v>
          </cell>
        </row>
        <row r="27">
          <cell r="C27">
            <v>2129</v>
          </cell>
          <cell r="D27" t="str">
            <v>CLOSED2129</v>
          </cell>
        </row>
        <row r="28">
          <cell r="C28">
            <v>2131</v>
          </cell>
          <cell r="D28" t="str">
            <v>CLOSED2131</v>
          </cell>
        </row>
        <row r="29">
          <cell r="C29">
            <v>2132</v>
          </cell>
          <cell r="D29" t="str">
            <v>CLOSED2132</v>
          </cell>
        </row>
        <row r="30">
          <cell r="C30">
            <v>2137</v>
          </cell>
          <cell r="D30">
            <v>2137</v>
          </cell>
        </row>
        <row r="31">
          <cell r="C31">
            <v>2106</v>
          </cell>
          <cell r="D31" t="str">
            <v>CLOSED2106</v>
          </cell>
        </row>
        <row r="32">
          <cell r="C32">
            <v>2118</v>
          </cell>
          <cell r="D32">
            <v>2118</v>
          </cell>
        </row>
        <row r="33">
          <cell r="C33">
            <v>2140</v>
          </cell>
          <cell r="D33" t="str">
            <v>CLOSED2140</v>
          </cell>
        </row>
        <row r="34">
          <cell r="C34">
            <v>2136</v>
          </cell>
          <cell r="D34">
            <v>2136</v>
          </cell>
        </row>
        <row r="35">
          <cell r="C35">
            <v>2120</v>
          </cell>
          <cell r="D35">
            <v>2120</v>
          </cell>
        </row>
        <row r="36">
          <cell r="C36">
            <v>2232</v>
          </cell>
          <cell r="D36">
            <v>2232</v>
          </cell>
        </row>
        <row r="37">
          <cell r="C37">
            <v>2231</v>
          </cell>
          <cell r="D37">
            <v>2231</v>
          </cell>
        </row>
        <row r="38">
          <cell r="C38">
            <v>2230</v>
          </cell>
          <cell r="D38">
            <v>2230</v>
          </cell>
        </row>
        <row r="39">
          <cell r="C39">
            <v>2233</v>
          </cell>
          <cell r="D39">
            <v>2233</v>
          </cell>
        </row>
        <row r="40">
          <cell r="C40">
            <v>2234</v>
          </cell>
          <cell r="D40">
            <v>2234</v>
          </cell>
        </row>
        <row r="41">
          <cell r="C41">
            <v>2242</v>
          </cell>
          <cell r="D41" t="str">
            <v>CLOSED2242</v>
          </cell>
        </row>
        <row r="42">
          <cell r="C42">
            <v>2245</v>
          </cell>
          <cell r="D42" t="str">
            <v>CLOSED2245</v>
          </cell>
        </row>
        <row r="43">
          <cell r="C43">
            <v>2990</v>
          </cell>
          <cell r="D43">
            <v>2990</v>
          </cell>
        </row>
        <row r="44">
          <cell r="C44">
            <v>2225</v>
          </cell>
          <cell r="D44">
            <v>2225</v>
          </cell>
        </row>
        <row r="45">
          <cell r="C45">
            <v>2226</v>
          </cell>
          <cell r="D45">
            <v>2226</v>
          </cell>
        </row>
        <row r="47">
          <cell r="C47">
            <v>3191</v>
          </cell>
          <cell r="D47">
            <v>3019</v>
          </cell>
        </row>
        <row r="48">
          <cell r="C48">
            <v>3019</v>
          </cell>
          <cell r="D48">
            <v>3019</v>
          </cell>
        </row>
        <row r="49">
          <cell r="C49">
            <v>3284</v>
          </cell>
          <cell r="D49">
            <v>3028</v>
          </cell>
        </row>
        <row r="50">
          <cell r="C50">
            <v>3028</v>
          </cell>
          <cell r="D50">
            <v>3028</v>
          </cell>
        </row>
        <row r="51">
          <cell r="C51">
            <v>3354</v>
          </cell>
          <cell r="D51" t="str">
            <v>CLOSED3035</v>
          </cell>
        </row>
        <row r="52">
          <cell r="C52">
            <v>3343</v>
          </cell>
          <cell r="D52">
            <v>3034</v>
          </cell>
        </row>
        <row r="53">
          <cell r="C53">
            <v>3034</v>
          </cell>
          <cell r="D53">
            <v>3034</v>
          </cell>
        </row>
        <row r="54">
          <cell r="C54">
            <v>3251</v>
          </cell>
          <cell r="D54" t="str">
            <v>CLOSED3025</v>
          </cell>
        </row>
        <row r="55">
          <cell r="C55">
            <v>3025</v>
          </cell>
          <cell r="D55" t="str">
            <v>CLOSED3025</v>
          </cell>
        </row>
        <row r="56">
          <cell r="C56">
            <v>3571</v>
          </cell>
          <cell r="D56" t="str">
            <v>CLOSED3057</v>
          </cell>
        </row>
        <row r="57">
          <cell r="C57">
            <v>3655</v>
          </cell>
          <cell r="D57" t="str">
            <v>CLOSED3065</v>
          </cell>
        </row>
        <row r="58">
          <cell r="C58">
            <v>3635</v>
          </cell>
          <cell r="D58" t="str">
            <v>CLOSED3063</v>
          </cell>
        </row>
        <row r="59">
          <cell r="C59">
            <v>3160</v>
          </cell>
          <cell r="D59" t="str">
            <v>CLOSED3160</v>
          </cell>
        </row>
        <row r="60">
          <cell r="C60">
            <v>3216</v>
          </cell>
          <cell r="D60" t="str">
            <v>CLOSED3216</v>
          </cell>
        </row>
        <row r="61">
          <cell r="C61">
            <v>3249</v>
          </cell>
          <cell r="D61" t="str">
            <v>CLOSED3249</v>
          </cell>
        </row>
        <row r="62">
          <cell r="C62">
            <v>3130</v>
          </cell>
          <cell r="D62" t="str">
            <v>CLOSED3130</v>
          </cell>
        </row>
        <row r="63">
          <cell r="C63">
            <v>3240</v>
          </cell>
          <cell r="D63" t="str">
            <v>CLOSED3240</v>
          </cell>
        </row>
        <row r="64">
          <cell r="C64">
            <v>3135</v>
          </cell>
          <cell r="D64" t="str">
            <v>CLOSED3135</v>
          </cell>
        </row>
        <row r="65">
          <cell r="C65">
            <v>3169</v>
          </cell>
          <cell r="D65" t="str">
            <v>CLOSED3169</v>
          </cell>
        </row>
        <row r="66">
          <cell r="C66">
            <v>3175</v>
          </cell>
          <cell r="D66">
            <v>3175</v>
          </cell>
        </row>
        <row r="67">
          <cell r="C67">
            <v>3213</v>
          </cell>
          <cell r="D67">
            <v>3213</v>
          </cell>
        </row>
        <row r="68">
          <cell r="C68">
            <v>3228</v>
          </cell>
          <cell r="D68">
            <v>3228</v>
          </cell>
        </row>
        <row r="70">
          <cell r="C70">
            <v>4051</v>
          </cell>
          <cell r="D70" t="str">
            <v>CLOSED4005</v>
          </cell>
        </row>
        <row r="71">
          <cell r="C71">
            <v>4361</v>
          </cell>
          <cell r="D71" t="str">
            <v>CLOSED4036</v>
          </cell>
        </row>
        <row r="72">
          <cell r="C72">
            <v>4404</v>
          </cell>
          <cell r="D72" t="str">
            <v>CLOSED4040</v>
          </cell>
        </row>
        <row r="73">
          <cell r="C73">
            <v>4081</v>
          </cell>
          <cell r="D73" t="str">
            <v>CLOSED4008</v>
          </cell>
        </row>
        <row r="74">
          <cell r="C74">
            <v>4071</v>
          </cell>
          <cell r="D74" t="str">
            <v>CLOSED4007</v>
          </cell>
        </row>
        <row r="75">
          <cell r="C75">
            <v>4685</v>
          </cell>
          <cell r="D75" t="str">
            <v>CLOSED4068</v>
          </cell>
        </row>
        <row r="76">
          <cell r="C76">
            <v>4695</v>
          </cell>
          <cell r="D76" t="str">
            <v>CLOSED4069</v>
          </cell>
        </row>
        <row r="77">
          <cell r="C77">
            <v>4715</v>
          </cell>
          <cell r="D77" t="str">
            <v>CLOSED4071</v>
          </cell>
        </row>
        <row r="78">
          <cell r="C78">
            <v>4725</v>
          </cell>
          <cell r="D78" t="str">
            <v>CLOSED4072</v>
          </cell>
        </row>
        <row r="79">
          <cell r="C79">
            <v>4736</v>
          </cell>
          <cell r="D79" t="str">
            <v>CLOSED4073</v>
          </cell>
        </row>
        <row r="80">
          <cell r="C80">
            <v>4085</v>
          </cell>
          <cell r="D80">
            <v>4085</v>
          </cell>
        </row>
        <row r="81">
          <cell r="C81">
            <v>4082</v>
          </cell>
          <cell r="D81" t="str">
            <v>CLOSED4082</v>
          </cell>
        </row>
        <row r="82">
          <cell r="C82">
            <v>4100</v>
          </cell>
          <cell r="D82">
            <v>4100</v>
          </cell>
        </row>
        <row r="83">
          <cell r="C83">
            <v>4145</v>
          </cell>
          <cell r="D83" t="str">
            <v>CLOSED4145</v>
          </cell>
        </row>
        <row r="84">
          <cell r="C84">
            <v>4146</v>
          </cell>
          <cell r="D84" t="str">
            <v>CLOSED4146</v>
          </cell>
        </row>
        <row r="85">
          <cell r="C85">
            <v>4147</v>
          </cell>
          <cell r="D85" t="str">
            <v>CLOSED4147</v>
          </cell>
        </row>
        <row r="86">
          <cell r="C86">
            <v>4239</v>
          </cell>
          <cell r="D86" t="str">
            <v>CLOSED4239</v>
          </cell>
        </row>
        <row r="87">
          <cell r="C87">
            <v>4114</v>
          </cell>
          <cell r="D87" t="str">
            <v>CLOSED4114</v>
          </cell>
        </row>
        <row r="88">
          <cell r="C88">
            <v>4024</v>
          </cell>
          <cell r="D88">
            <v>4024</v>
          </cell>
        </row>
        <row r="89">
          <cell r="C89">
            <v>4149</v>
          </cell>
          <cell r="D89" t="str">
            <v>CLOSED4149</v>
          </cell>
        </row>
        <row r="90">
          <cell r="C90">
            <v>4115</v>
          </cell>
          <cell r="D90">
            <v>4115</v>
          </cell>
        </row>
        <row r="91">
          <cell r="C91">
            <v>4170</v>
          </cell>
          <cell r="D91">
            <v>4170</v>
          </cell>
        </row>
        <row r="92">
          <cell r="C92">
            <v>4770</v>
          </cell>
          <cell r="D92">
            <v>4770</v>
          </cell>
        </row>
        <row r="93">
          <cell r="C93">
            <v>4244</v>
          </cell>
          <cell r="D93">
            <v>4244</v>
          </cell>
        </row>
        <row r="94">
          <cell r="C94">
            <v>4235</v>
          </cell>
          <cell r="D94">
            <v>4235</v>
          </cell>
        </row>
        <row r="95">
          <cell r="C95">
            <v>4775</v>
          </cell>
          <cell r="D95">
            <v>4775</v>
          </cell>
        </row>
        <row r="96">
          <cell r="C96">
            <v>4540</v>
          </cell>
          <cell r="D96">
            <v>4530</v>
          </cell>
        </row>
        <row r="97">
          <cell r="C97">
            <v>4157</v>
          </cell>
          <cell r="D97" t="str">
            <v>CLOSED4157</v>
          </cell>
        </row>
        <row r="98">
          <cell r="C98">
            <v>4155</v>
          </cell>
          <cell r="D98" t="str">
            <v>CLOSED4155</v>
          </cell>
        </row>
        <row r="99">
          <cell r="C99">
            <v>4530</v>
          </cell>
          <cell r="D99">
            <v>4530</v>
          </cell>
        </row>
        <row r="100">
          <cell r="C100">
            <v>4200</v>
          </cell>
          <cell r="D100" t="str">
            <v>CLOSED4200</v>
          </cell>
        </row>
        <row r="101">
          <cell r="C101">
            <v>4201</v>
          </cell>
          <cell r="D101" t="str">
            <v>CLOSED4201</v>
          </cell>
        </row>
        <row r="102">
          <cell r="C102">
            <v>4203</v>
          </cell>
          <cell r="D102" t="str">
            <v>CLOSED4203</v>
          </cell>
        </row>
        <row r="103">
          <cell r="C103">
            <v>4122</v>
          </cell>
          <cell r="D103">
            <v>4122</v>
          </cell>
        </row>
        <row r="104">
          <cell r="C104">
            <v>4101</v>
          </cell>
          <cell r="D104">
            <v>4101</v>
          </cell>
        </row>
        <row r="105">
          <cell r="C105">
            <v>4102</v>
          </cell>
          <cell r="D105">
            <v>4102</v>
          </cell>
        </row>
        <row r="106">
          <cell r="C106">
            <v>4103</v>
          </cell>
          <cell r="D106">
            <v>4103</v>
          </cell>
        </row>
        <row r="107">
          <cell r="C107">
            <v>4104</v>
          </cell>
          <cell r="D107">
            <v>4104</v>
          </cell>
        </row>
        <row r="108">
          <cell r="C108">
            <v>4106</v>
          </cell>
          <cell r="D108">
            <v>4106</v>
          </cell>
        </row>
        <row r="109">
          <cell r="C109">
            <v>4107</v>
          </cell>
          <cell r="D109">
            <v>4107</v>
          </cell>
        </row>
        <row r="110">
          <cell r="C110">
            <v>4108</v>
          </cell>
          <cell r="D110">
            <v>4108</v>
          </cell>
        </row>
        <row r="111">
          <cell r="C111">
            <v>4109</v>
          </cell>
          <cell r="D111">
            <v>4109</v>
          </cell>
        </row>
        <row r="112">
          <cell r="C112">
            <v>4110</v>
          </cell>
          <cell r="D112">
            <v>4110</v>
          </cell>
        </row>
        <row r="113">
          <cell r="C113">
            <v>4076</v>
          </cell>
          <cell r="D113">
            <v>4995</v>
          </cell>
        </row>
        <row r="114">
          <cell r="C114">
            <v>4148</v>
          </cell>
          <cell r="D114">
            <v>4995</v>
          </cell>
        </row>
        <row r="115">
          <cell r="C115">
            <v>4995</v>
          </cell>
          <cell r="D115">
            <v>4995</v>
          </cell>
        </row>
        <row r="116">
          <cell r="C116">
            <v>4250</v>
          </cell>
          <cell r="D116">
            <v>4250</v>
          </cell>
        </row>
        <row r="117">
          <cell r="C117">
            <v>4225</v>
          </cell>
          <cell r="D117">
            <v>4225</v>
          </cell>
        </row>
        <row r="118">
          <cell r="C118">
            <v>4226</v>
          </cell>
          <cell r="D118">
            <v>4226</v>
          </cell>
        </row>
        <row r="120">
          <cell r="C120">
            <v>5531</v>
          </cell>
          <cell r="D120" t="str">
            <v>CLOSED5053</v>
          </cell>
        </row>
        <row r="121">
          <cell r="C121">
            <v>5053</v>
          </cell>
          <cell r="D121">
            <v>5053</v>
          </cell>
        </row>
        <row r="122">
          <cell r="C122">
            <v>5192</v>
          </cell>
          <cell r="D122" t="str">
            <v>CLOSED5192</v>
          </cell>
        </row>
        <row r="124">
          <cell r="C124">
            <v>6165</v>
          </cell>
          <cell r="D124" t="str">
            <v>CLOSED6165</v>
          </cell>
        </row>
        <row r="125">
          <cell r="C125">
            <v>6261</v>
          </cell>
          <cell r="D125">
            <v>6026</v>
          </cell>
        </row>
        <row r="126">
          <cell r="C126">
            <v>6026</v>
          </cell>
          <cell r="D126">
            <v>6026</v>
          </cell>
        </row>
        <row r="127">
          <cell r="C127">
            <v>6756</v>
          </cell>
          <cell r="D127" t="str">
            <v>CLOSED6075</v>
          </cell>
        </row>
        <row r="128">
          <cell r="C128">
            <v>6077</v>
          </cell>
          <cell r="D128" t="str">
            <v>CLOSED6077</v>
          </cell>
        </row>
        <row r="129">
          <cell r="C129">
            <v>6045</v>
          </cell>
          <cell r="D129" t="str">
            <v>CLOSED6045</v>
          </cell>
        </row>
        <row r="130">
          <cell r="C130">
            <v>6087</v>
          </cell>
          <cell r="D130">
            <v>6087</v>
          </cell>
        </row>
        <row r="131">
          <cell r="C131">
            <v>6089</v>
          </cell>
          <cell r="D131">
            <v>6089</v>
          </cell>
        </row>
        <row r="132">
          <cell r="C132">
            <v>6176</v>
          </cell>
          <cell r="D132">
            <v>6176</v>
          </cell>
        </row>
        <row r="133">
          <cell r="C133">
            <v>6220</v>
          </cell>
          <cell r="D133">
            <v>6220</v>
          </cell>
        </row>
        <row r="135">
          <cell r="C135">
            <v>7641</v>
          </cell>
          <cell r="D135">
            <v>7064</v>
          </cell>
        </row>
        <row r="136">
          <cell r="C136">
            <v>7064</v>
          </cell>
          <cell r="D136">
            <v>7064</v>
          </cell>
        </row>
        <row r="137">
          <cell r="C137">
            <v>7084</v>
          </cell>
          <cell r="D137" t="str">
            <v>CLOSED7084</v>
          </cell>
        </row>
        <row r="138">
          <cell r="C138">
            <v>7078</v>
          </cell>
          <cell r="D138">
            <v>7078</v>
          </cell>
        </row>
        <row r="139">
          <cell r="C139">
            <v>7079</v>
          </cell>
          <cell r="D139">
            <v>7079</v>
          </cell>
        </row>
        <row r="143">
          <cell r="C143">
            <v>8061</v>
          </cell>
          <cell r="D143">
            <v>8006</v>
          </cell>
        </row>
        <row r="144">
          <cell r="C144">
            <v>8006</v>
          </cell>
          <cell r="D144">
            <v>8006</v>
          </cell>
        </row>
        <row r="145">
          <cell r="C145">
            <v>8015</v>
          </cell>
          <cell r="D145" t="str">
            <v>CLOSED8190</v>
          </cell>
        </row>
        <row r="146">
          <cell r="C146">
            <v>8305</v>
          </cell>
          <cell r="D146">
            <v>8030</v>
          </cell>
        </row>
        <row r="147">
          <cell r="C147">
            <v>8030</v>
          </cell>
          <cell r="D147">
            <v>8030</v>
          </cell>
        </row>
        <row r="148">
          <cell r="C148">
            <v>8188</v>
          </cell>
          <cell r="D148">
            <v>8188</v>
          </cell>
        </row>
        <row r="149">
          <cell r="C149">
            <v>8046</v>
          </cell>
          <cell r="D149" t="str">
            <v>CLOSED8046</v>
          </cell>
        </row>
        <row r="150">
          <cell r="C150">
            <v>8190</v>
          </cell>
          <cell r="D150">
            <v>8190</v>
          </cell>
        </row>
        <row r="151">
          <cell r="C151">
            <v>8196</v>
          </cell>
          <cell r="D151" t="str">
            <v>CLOSED8196</v>
          </cell>
        </row>
        <row r="152">
          <cell r="C152">
            <v>8185</v>
          </cell>
          <cell r="D152">
            <v>8185</v>
          </cell>
        </row>
        <row r="155">
          <cell r="C155">
            <v>1002</v>
          </cell>
          <cell r="D155" t="str">
            <v>CLOSED1002</v>
          </cell>
        </row>
        <row r="156">
          <cell r="C156">
            <v>1003</v>
          </cell>
          <cell r="D156" t="str">
            <v>CLOSED1003</v>
          </cell>
        </row>
        <row r="157">
          <cell r="C157">
            <v>1038</v>
          </cell>
          <cell r="D157" t="str">
            <v>CLOSED1038</v>
          </cell>
        </row>
        <row r="158">
          <cell r="C158">
            <v>1041</v>
          </cell>
          <cell r="D158" t="str">
            <v>CLOSED1041</v>
          </cell>
        </row>
        <row r="159">
          <cell r="C159">
            <v>1075</v>
          </cell>
          <cell r="D159" t="str">
            <v>CLOSED1075</v>
          </cell>
        </row>
        <row r="160">
          <cell r="C160">
            <v>1086</v>
          </cell>
          <cell r="D160" t="str">
            <v>CLOSED1086</v>
          </cell>
        </row>
        <row r="161">
          <cell r="C161">
            <v>1093</v>
          </cell>
          <cell r="D161" t="str">
            <v>CLOSED1093</v>
          </cell>
        </row>
        <row r="162">
          <cell r="C162">
            <v>1149</v>
          </cell>
          <cell r="D162" t="str">
            <v>CLOSED1149</v>
          </cell>
        </row>
        <row r="163">
          <cell r="C163">
            <v>1210</v>
          </cell>
          <cell r="D163" t="str">
            <v>CLOSED1210</v>
          </cell>
        </row>
        <row r="164">
          <cell r="C164">
            <v>1010</v>
          </cell>
          <cell r="D164" t="str">
            <v>CLOSED1010</v>
          </cell>
        </row>
        <row r="165">
          <cell r="C165">
            <v>1199</v>
          </cell>
          <cell r="D165" t="str">
            <v>CLOSED1199</v>
          </cell>
        </row>
        <row r="166">
          <cell r="C166">
            <v>1093</v>
          </cell>
          <cell r="D166" t="str">
            <v>CLOSED1093</v>
          </cell>
        </row>
        <row r="167">
          <cell r="C167">
            <v>1161</v>
          </cell>
          <cell r="D167">
            <v>1161</v>
          </cell>
        </row>
        <row r="168">
          <cell r="C168">
            <v>1171</v>
          </cell>
          <cell r="D168">
            <v>1171</v>
          </cell>
        </row>
        <row r="169">
          <cell r="C169">
            <v>1181</v>
          </cell>
          <cell r="D169">
            <v>1181</v>
          </cell>
        </row>
        <row r="170">
          <cell r="C170">
            <v>1151</v>
          </cell>
          <cell r="D170">
            <v>1151</v>
          </cell>
        </row>
        <row r="171">
          <cell r="C171">
            <v>1085</v>
          </cell>
          <cell r="D171">
            <v>1085</v>
          </cell>
        </row>
        <row r="172">
          <cell r="C172">
            <v>1085</v>
          </cell>
          <cell r="D172">
            <v>1085</v>
          </cell>
        </row>
        <row r="175">
          <cell r="C175">
            <v>9991</v>
          </cell>
          <cell r="D175">
            <v>9991</v>
          </cell>
        </row>
        <row r="176">
          <cell r="C176">
            <v>9993</v>
          </cell>
          <cell r="D176">
            <v>9993</v>
          </cell>
        </row>
        <row r="177">
          <cell r="C177">
            <v>9994</v>
          </cell>
          <cell r="D177">
            <v>9994</v>
          </cell>
        </row>
        <row r="178">
          <cell r="C178">
            <v>9995</v>
          </cell>
          <cell r="D178">
            <v>9995</v>
          </cell>
        </row>
        <row r="179">
          <cell r="C179">
            <v>9996</v>
          </cell>
          <cell r="D179">
            <v>9996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U40"/>
  <sheetViews>
    <sheetView tabSelected="1" zoomScale="80" zoomScaleNormal="80" workbookViewId="0">
      <pane xSplit="9" ySplit="3" topLeftCell="J7" activePane="bottomRight" state="frozen"/>
      <selection pane="topRight"/>
      <selection pane="bottomLeft"/>
      <selection pane="bottomRight" activeCell="N35" sqref="N35"/>
    </sheetView>
  </sheetViews>
  <sheetFormatPr defaultColWidth="9" defaultRowHeight="15"/>
  <cols>
    <col min="1" max="1" width="4.140625" customWidth="1"/>
    <col min="2" max="2" width="13.42578125" bestFit="1" customWidth="1"/>
    <col min="3" max="3" width="4.5703125" customWidth="1"/>
    <col min="4" max="4" width="12.85546875" style="1" customWidth="1"/>
    <col min="5" max="5" width="20.5703125" bestFit="1" customWidth="1"/>
    <col min="6" max="6" width="10.42578125" customWidth="1"/>
    <col min="7" max="7" width="6.5703125" customWidth="1"/>
    <col min="8" max="8" width="4.5703125" customWidth="1"/>
    <col min="9" max="9" width="3.140625" style="2" customWidth="1"/>
    <col min="10" max="10" width="12.28515625" style="3" bestFit="1" customWidth="1"/>
    <col min="11" max="11" width="10.5703125" style="3" customWidth="1"/>
    <col min="12" max="12" width="12.42578125" style="22" customWidth="1"/>
    <col min="13" max="13" width="11.140625" style="22" customWidth="1"/>
    <col min="14" max="14" width="10" style="3" customWidth="1"/>
    <col min="15" max="15" width="12.85546875" style="22" customWidth="1"/>
    <col min="16" max="16" width="11.140625" style="22" customWidth="1"/>
    <col min="17" max="17" width="12.7109375" style="3" customWidth="1"/>
    <col min="18" max="18" width="25" style="3" customWidth="1"/>
    <col min="19" max="19" width="2.85546875" style="2" customWidth="1"/>
    <col min="23" max="23" width="9.5703125"/>
    <col min="24" max="24" width="17.5703125" style="17" customWidth="1"/>
    <col min="25" max="25" width="14.42578125" customWidth="1"/>
    <col min="26" max="26" width="36.85546875" customWidth="1"/>
    <col min="31" max="31" width="13.140625" style="1" customWidth="1"/>
    <col min="32" max="32" width="36.42578125" customWidth="1"/>
    <col min="33" max="33" width="33.140625" customWidth="1"/>
    <col min="34" max="34" width="41.140625" customWidth="1"/>
    <col min="35" max="35" width="38.85546875" customWidth="1"/>
    <col min="36" max="36" width="30.5703125" customWidth="1"/>
    <col min="40" max="41" width="9.5703125"/>
    <col min="44" max="44" width="9.5703125"/>
    <col min="67" max="68" width="9.5703125"/>
  </cols>
  <sheetData>
    <row r="1" spans="1:73" ht="15.75">
      <c r="A1" s="4" t="s">
        <v>0</v>
      </c>
      <c r="B1" s="5"/>
      <c r="C1" s="5"/>
      <c r="D1" s="6"/>
      <c r="E1" s="7" t="s">
        <v>1</v>
      </c>
      <c r="F1" s="8"/>
      <c r="G1" s="8"/>
      <c r="H1" s="8"/>
      <c r="I1" s="11"/>
      <c r="J1" s="12"/>
      <c r="K1" s="12"/>
      <c r="L1" s="20"/>
      <c r="M1" s="20"/>
      <c r="N1" s="12"/>
      <c r="O1" s="20"/>
      <c r="P1" s="20"/>
      <c r="Q1" s="12"/>
      <c r="R1" s="12"/>
      <c r="S1" s="11"/>
    </row>
    <row r="2" spans="1:73" ht="15.75">
      <c r="A2" s="8"/>
      <c r="B2" s="8"/>
      <c r="C2" s="8"/>
      <c r="D2" s="9"/>
      <c r="E2" s="7"/>
      <c r="F2" s="8"/>
      <c r="G2" s="8"/>
      <c r="H2" s="8"/>
      <c r="I2" s="11"/>
      <c r="J2" s="12"/>
      <c r="K2" s="12"/>
      <c r="L2" s="20" t="s">
        <v>2</v>
      </c>
      <c r="M2" s="20">
        <v>0.13</v>
      </c>
      <c r="N2" s="12">
        <v>1.95E-2</v>
      </c>
      <c r="O2" s="20"/>
      <c r="P2" s="20">
        <v>0.1</v>
      </c>
      <c r="Q2" s="12"/>
      <c r="R2" s="12"/>
      <c r="S2" s="11"/>
    </row>
    <row r="3" spans="1:73" ht="15.75">
      <c r="A3" s="7" t="s">
        <v>3</v>
      </c>
      <c r="B3" s="7" t="s">
        <v>4</v>
      </c>
      <c r="C3" s="7" t="s">
        <v>5</v>
      </c>
      <c r="D3" s="10" t="s">
        <v>6</v>
      </c>
      <c r="E3" s="7" t="s">
        <v>49</v>
      </c>
      <c r="F3" s="7" t="s">
        <v>50</v>
      </c>
      <c r="G3" s="7" t="s">
        <v>51</v>
      </c>
      <c r="H3" s="7" t="s">
        <v>7</v>
      </c>
      <c r="I3" s="13"/>
      <c r="J3" s="24" t="s">
        <v>19</v>
      </c>
      <c r="K3" s="14" t="s">
        <v>8</v>
      </c>
      <c r="L3" s="21" t="s">
        <v>9</v>
      </c>
      <c r="M3" s="21" t="s">
        <v>10</v>
      </c>
      <c r="N3" s="14" t="s">
        <v>11</v>
      </c>
      <c r="O3" s="21"/>
      <c r="P3" s="21" t="s">
        <v>5</v>
      </c>
      <c r="Q3" s="14"/>
      <c r="R3" s="16" t="s">
        <v>12</v>
      </c>
      <c r="S3" s="15"/>
    </row>
    <row r="4" spans="1:73" ht="15.75">
      <c r="A4" s="7"/>
      <c r="B4" s="7"/>
      <c r="C4" s="7"/>
      <c r="D4" s="10"/>
      <c r="E4" s="7"/>
      <c r="F4" s="7"/>
      <c r="G4" s="7"/>
      <c r="H4" s="7"/>
      <c r="I4" s="13"/>
      <c r="J4" s="24"/>
      <c r="K4" s="14"/>
      <c r="L4" s="21"/>
      <c r="M4" s="21"/>
      <c r="N4" s="14"/>
      <c r="O4" s="21"/>
      <c r="P4" s="21"/>
      <c r="Q4" s="14"/>
      <c r="R4" s="16"/>
      <c r="S4" s="15"/>
    </row>
    <row r="5" spans="1:73" ht="15.75">
      <c r="A5" s="7"/>
      <c r="B5" s="7"/>
      <c r="C5" s="7"/>
      <c r="D5" s="10"/>
      <c r="E5" s="7"/>
      <c r="F5" s="7"/>
      <c r="G5" s="7"/>
      <c r="H5" s="7"/>
      <c r="I5" s="13"/>
      <c r="J5" s="24"/>
      <c r="K5" s="14"/>
      <c r="L5" s="21"/>
      <c r="M5" s="21"/>
      <c r="N5" s="14"/>
      <c r="O5" s="21"/>
      <c r="P5" s="21"/>
      <c r="Q5" s="14"/>
      <c r="R5" s="16"/>
      <c r="S5" s="15"/>
    </row>
    <row r="6" spans="1:73" ht="15.75">
      <c r="A6" s="7"/>
      <c r="B6" s="7"/>
      <c r="C6" s="7"/>
      <c r="D6" s="10"/>
      <c r="E6" s="7"/>
      <c r="F6" s="7"/>
      <c r="G6" s="7"/>
      <c r="H6" s="7"/>
      <c r="I6" s="13"/>
      <c r="J6" s="24"/>
      <c r="K6" s="14"/>
      <c r="L6" s="21"/>
      <c r="M6" s="21"/>
      <c r="N6" s="14"/>
      <c r="O6" s="21"/>
      <c r="P6" s="21"/>
      <c r="Q6" s="14"/>
      <c r="R6" s="16"/>
      <c r="S6" s="15"/>
    </row>
    <row r="7" spans="1:73">
      <c r="A7" t="s">
        <v>3</v>
      </c>
      <c r="B7" t="str">
        <f>VLOOKUP(J7,[1]Sheet1!$C:$D,2,FALSE)&amp;K7</f>
        <v>22252011</v>
      </c>
      <c r="C7" t="str">
        <f t="shared" ref="C7:C31" si="0">IF(P7&lt;&gt;"","C","NA")</f>
        <v>C</v>
      </c>
      <c r="D7" s="18">
        <f t="shared" ref="D7:D31" si="1">O7+P7</f>
        <v>21.92652</v>
      </c>
      <c r="E7" s="19" t="str">
        <f t="shared" ref="E7:E31" si="2">R7</f>
        <v>2225 - NEWS@CANBERRA AIRPORT</v>
      </c>
      <c r="F7" t="str">
        <f t="shared" ref="F7:F31" si="3">Q7</f>
        <v>UGGS</v>
      </c>
      <c r="J7" s="3">
        <f t="shared" ref="J7:J31" si="4">IFERROR(LEFT(R7,4)*1,IFERROR(RIGHT(R7,4)*1,""))</f>
        <v>2225</v>
      </c>
      <c r="K7" s="3">
        <f t="shared" ref="K7:K31" si="5">IF(OR(V7="FSR", V7="MIS"),3095,2011)</f>
        <v>2011</v>
      </c>
      <c r="L7" s="22">
        <f t="shared" ref="L7:L31" si="6">AE7</f>
        <v>17.64</v>
      </c>
      <c r="M7" s="22">
        <f t="shared" ref="M7:M29" si="7">L7*$M$2</f>
        <v>2.2932000000000001</v>
      </c>
      <c r="N7" s="3">
        <f t="shared" ref="N7:N29" si="8">IF(Q7="DOCS",L7*$N$2,0)</f>
        <v>0</v>
      </c>
      <c r="O7" s="22">
        <f t="shared" ref="O7:O31" si="9">SUM(L7:N7)</f>
        <v>19.933199999999999</v>
      </c>
      <c r="P7" s="22">
        <f t="shared" ref="P7:P30" si="10">O7*$P$2</f>
        <v>1.99332</v>
      </c>
      <c r="Q7" s="3" t="str">
        <f t="shared" ref="Q7:Q29" si="11">TRIM(Y7)</f>
        <v>UGGS</v>
      </c>
      <c r="R7" s="3" t="str">
        <f t="shared" ref="R7:R29" si="12">TRIM(AF7)</f>
        <v>2225 - NEWS@CANBERRA AIRPORT</v>
      </c>
      <c r="T7" t="s">
        <v>22</v>
      </c>
      <c r="U7" t="s">
        <v>52</v>
      </c>
      <c r="V7" t="s">
        <v>37</v>
      </c>
      <c r="W7">
        <v>16062021</v>
      </c>
      <c r="X7" s="17" t="s">
        <v>53</v>
      </c>
      <c r="Y7" t="s">
        <v>54</v>
      </c>
      <c r="Z7" t="s">
        <v>55</v>
      </c>
      <c r="AA7" t="s">
        <v>13</v>
      </c>
      <c r="AB7">
        <v>1</v>
      </c>
      <c r="AC7">
        <v>7.6999999999999999E-2</v>
      </c>
      <c r="AD7">
        <v>20</v>
      </c>
      <c r="AE7" s="1">
        <v>17.64</v>
      </c>
      <c r="AF7" t="s">
        <v>56</v>
      </c>
      <c r="AG7" t="s">
        <v>20</v>
      </c>
      <c r="AH7" t="s">
        <v>57</v>
      </c>
      <c r="AI7" t="s">
        <v>58</v>
      </c>
      <c r="AJ7" t="s">
        <v>59</v>
      </c>
      <c r="AK7">
        <v>2609</v>
      </c>
      <c r="AL7" t="s">
        <v>60</v>
      </c>
      <c r="AM7" t="s">
        <v>21</v>
      </c>
      <c r="AN7">
        <v>16062021</v>
      </c>
      <c r="AO7">
        <v>18062021</v>
      </c>
      <c r="AP7">
        <v>101133</v>
      </c>
      <c r="AQ7" t="s">
        <v>61</v>
      </c>
      <c r="AR7">
        <v>10107299</v>
      </c>
      <c r="AS7" t="s">
        <v>62</v>
      </c>
      <c r="AT7" t="s">
        <v>14</v>
      </c>
      <c r="AU7" t="s">
        <v>15</v>
      </c>
      <c r="AV7" t="s">
        <v>16</v>
      </c>
      <c r="AW7" t="s">
        <v>15</v>
      </c>
      <c r="AX7" t="s">
        <v>16</v>
      </c>
      <c r="AY7" t="s">
        <v>15</v>
      </c>
      <c r="AZ7" t="s">
        <v>16</v>
      </c>
      <c r="BA7" t="s">
        <v>15</v>
      </c>
      <c r="BB7" t="s">
        <v>16</v>
      </c>
      <c r="BC7" t="s">
        <v>15</v>
      </c>
      <c r="BD7" t="s">
        <v>16</v>
      </c>
      <c r="BE7" t="s">
        <v>15</v>
      </c>
      <c r="BF7" t="s">
        <v>16</v>
      </c>
      <c r="BG7" t="s">
        <v>15</v>
      </c>
      <c r="BH7" t="s">
        <v>16</v>
      </c>
      <c r="BI7" t="s">
        <v>15</v>
      </c>
      <c r="BJ7" t="s">
        <v>16</v>
      </c>
      <c r="BK7" t="s">
        <v>15</v>
      </c>
      <c r="BL7" t="s">
        <v>16</v>
      </c>
      <c r="BM7">
        <v>21051</v>
      </c>
      <c r="BN7">
        <v>4</v>
      </c>
      <c r="BO7">
        <v>20210622</v>
      </c>
      <c r="BP7">
        <v>17062021</v>
      </c>
      <c r="BQ7" t="s">
        <v>16</v>
      </c>
      <c r="BR7">
        <v>0</v>
      </c>
      <c r="BS7" t="s">
        <v>17</v>
      </c>
      <c r="BT7" t="s">
        <v>63</v>
      </c>
      <c r="BU7" t="s">
        <v>43</v>
      </c>
    </row>
    <row r="8" spans="1:73">
      <c r="A8" t="s">
        <v>3</v>
      </c>
      <c r="B8" t="str">
        <f>VLOOKUP(J8,[1]Sheet1!$C:$D,2,FALSE)&amp;K8</f>
        <v>22252011</v>
      </c>
      <c r="C8" t="str">
        <f t="shared" si="0"/>
        <v>C</v>
      </c>
      <c r="D8" s="18">
        <f t="shared" si="1"/>
        <v>21.92652</v>
      </c>
      <c r="E8" s="19" t="str">
        <f t="shared" si="2"/>
        <v>2225 - NEWS@CANBERRA AIRPORT</v>
      </c>
      <c r="F8" t="str">
        <f t="shared" si="3"/>
        <v>READERS</v>
      </c>
      <c r="J8" s="3">
        <f t="shared" si="4"/>
        <v>2225</v>
      </c>
      <c r="K8" s="3">
        <f t="shared" si="5"/>
        <v>2011</v>
      </c>
      <c r="L8" s="22">
        <f t="shared" si="6"/>
        <v>17.64</v>
      </c>
      <c r="M8" s="22">
        <f t="shared" si="7"/>
        <v>2.2932000000000001</v>
      </c>
      <c r="N8" s="3">
        <f t="shared" si="8"/>
        <v>0</v>
      </c>
      <c r="O8" s="22">
        <f t="shared" si="9"/>
        <v>19.933199999999999</v>
      </c>
      <c r="P8" s="22">
        <f t="shared" si="10"/>
        <v>1.99332</v>
      </c>
      <c r="Q8" s="3" t="str">
        <f t="shared" si="11"/>
        <v>READERS</v>
      </c>
      <c r="R8" s="3" t="str">
        <f t="shared" si="12"/>
        <v>2225 - NEWS@CANBERRA AIRPORT</v>
      </c>
      <c r="T8" t="s">
        <v>22</v>
      </c>
      <c r="U8" t="s">
        <v>52</v>
      </c>
      <c r="V8" t="s">
        <v>37</v>
      </c>
      <c r="W8">
        <v>16062021</v>
      </c>
      <c r="X8" s="17" t="s">
        <v>64</v>
      </c>
      <c r="Y8" t="s">
        <v>65</v>
      </c>
      <c r="Z8" t="s">
        <v>55</v>
      </c>
      <c r="AA8" t="s">
        <v>13</v>
      </c>
      <c r="AB8">
        <v>1</v>
      </c>
      <c r="AC8">
        <v>7.9000000000000001E-2</v>
      </c>
      <c r="AD8">
        <v>20</v>
      </c>
      <c r="AE8" s="1">
        <v>17.64</v>
      </c>
      <c r="AF8" t="s">
        <v>56</v>
      </c>
      <c r="AG8" t="s">
        <v>20</v>
      </c>
      <c r="AH8" t="s">
        <v>57</v>
      </c>
      <c r="AI8" t="s">
        <v>58</v>
      </c>
      <c r="AJ8" t="s">
        <v>59</v>
      </c>
      <c r="AK8">
        <v>2609</v>
      </c>
      <c r="AL8" t="s">
        <v>60</v>
      </c>
      <c r="AM8" t="s">
        <v>21</v>
      </c>
      <c r="AN8">
        <v>16062021</v>
      </c>
      <c r="AO8">
        <v>21062021</v>
      </c>
      <c r="AP8">
        <v>93400</v>
      </c>
      <c r="AQ8" t="s">
        <v>66</v>
      </c>
      <c r="AR8">
        <v>10107299</v>
      </c>
      <c r="AS8" t="s">
        <v>67</v>
      </c>
      <c r="AT8" t="s">
        <v>14</v>
      </c>
      <c r="AU8" t="s">
        <v>15</v>
      </c>
      <c r="AV8" t="s">
        <v>16</v>
      </c>
      <c r="AW8" t="s">
        <v>15</v>
      </c>
      <c r="AX8" t="s">
        <v>16</v>
      </c>
      <c r="AY8" t="s">
        <v>15</v>
      </c>
      <c r="AZ8" t="s">
        <v>16</v>
      </c>
      <c r="BA8" t="s">
        <v>15</v>
      </c>
      <c r="BB8" t="s">
        <v>16</v>
      </c>
      <c r="BC8" t="s">
        <v>15</v>
      </c>
      <c r="BD8" t="s">
        <v>16</v>
      </c>
      <c r="BE8" t="s">
        <v>15</v>
      </c>
      <c r="BF8" t="s">
        <v>16</v>
      </c>
      <c r="BG8" t="s">
        <v>15</v>
      </c>
      <c r="BH8" t="s">
        <v>16</v>
      </c>
      <c r="BI8" t="s">
        <v>15</v>
      </c>
      <c r="BJ8" t="s">
        <v>16</v>
      </c>
      <c r="BK8" t="s">
        <v>15</v>
      </c>
      <c r="BL8" t="s">
        <v>16</v>
      </c>
      <c r="BM8">
        <v>21051</v>
      </c>
      <c r="BN8">
        <v>17</v>
      </c>
      <c r="BO8">
        <v>20210622</v>
      </c>
      <c r="BP8">
        <v>21062021</v>
      </c>
      <c r="BQ8" t="s">
        <v>16</v>
      </c>
      <c r="BR8">
        <v>0</v>
      </c>
      <c r="BS8" t="s">
        <v>17</v>
      </c>
      <c r="BT8" t="s">
        <v>68</v>
      </c>
      <c r="BU8" t="s">
        <v>43</v>
      </c>
    </row>
    <row r="9" spans="1:73">
      <c r="A9" t="s">
        <v>3</v>
      </c>
      <c r="B9" t="str">
        <f>VLOOKUP(J9,[1]Sheet1!$C:$D,2,FALSE)&amp;K9</f>
        <v>22252011</v>
      </c>
      <c r="C9" t="str">
        <f t="shared" si="0"/>
        <v>C</v>
      </c>
      <c r="D9" s="1">
        <f t="shared" si="1"/>
        <v>35.015309999999999</v>
      </c>
      <c r="E9" s="23" t="str">
        <f t="shared" si="2"/>
        <v>2225 - NEWS@CANBERRA AIRPORT</v>
      </c>
      <c r="F9" t="str">
        <f t="shared" si="3"/>
        <v>UGGS</v>
      </c>
      <c r="J9" s="3">
        <f t="shared" si="4"/>
        <v>2225</v>
      </c>
      <c r="K9" s="3">
        <f t="shared" si="5"/>
        <v>2011</v>
      </c>
      <c r="L9" s="22">
        <f t="shared" si="6"/>
        <v>28.17</v>
      </c>
      <c r="M9" s="22">
        <f t="shared" si="7"/>
        <v>3.6621000000000001</v>
      </c>
      <c r="N9" s="3">
        <f t="shared" si="8"/>
        <v>0</v>
      </c>
      <c r="O9" s="22">
        <f t="shared" si="9"/>
        <v>31.832100000000001</v>
      </c>
      <c r="P9" s="22">
        <f t="shared" si="10"/>
        <v>3.1832100000000003</v>
      </c>
      <c r="Q9" s="3" t="str">
        <f t="shared" si="11"/>
        <v>UGGS</v>
      </c>
      <c r="R9" s="3" t="str">
        <f t="shared" si="12"/>
        <v>2225 - NEWS@CANBERRA AIRPORT</v>
      </c>
      <c r="T9" t="s">
        <v>22</v>
      </c>
      <c r="U9" t="s">
        <v>52</v>
      </c>
      <c r="V9" t="s">
        <v>37</v>
      </c>
      <c r="W9">
        <v>18062021</v>
      </c>
      <c r="X9" s="17" t="s">
        <v>69</v>
      </c>
      <c r="Y9" t="s">
        <v>54</v>
      </c>
      <c r="Z9" t="s">
        <v>55</v>
      </c>
      <c r="AA9" t="s">
        <v>13</v>
      </c>
      <c r="AB9">
        <v>2</v>
      </c>
      <c r="AC9">
        <v>0.185</v>
      </c>
      <c r="AD9">
        <v>47</v>
      </c>
      <c r="AE9" s="1">
        <v>28.17</v>
      </c>
      <c r="AF9" t="s">
        <v>56</v>
      </c>
      <c r="AG9" t="s">
        <v>20</v>
      </c>
      <c r="AH9" t="s">
        <v>57</v>
      </c>
      <c r="AI9" t="s">
        <v>58</v>
      </c>
      <c r="AJ9" t="s">
        <v>59</v>
      </c>
      <c r="AK9">
        <v>2609</v>
      </c>
      <c r="AL9" t="s">
        <v>60</v>
      </c>
      <c r="AM9" t="s">
        <v>21</v>
      </c>
      <c r="AN9">
        <v>18062021</v>
      </c>
      <c r="AO9">
        <v>21062021</v>
      </c>
      <c r="AP9">
        <v>93400</v>
      </c>
      <c r="AQ9" t="s">
        <v>66</v>
      </c>
      <c r="AR9">
        <v>10107299</v>
      </c>
      <c r="AS9" t="s">
        <v>62</v>
      </c>
      <c r="AT9" t="s">
        <v>14</v>
      </c>
      <c r="AU9" t="s">
        <v>15</v>
      </c>
      <c r="AV9" t="s">
        <v>16</v>
      </c>
      <c r="AW9" t="s">
        <v>15</v>
      </c>
      <c r="AX9" t="s">
        <v>16</v>
      </c>
      <c r="AY9" t="s">
        <v>15</v>
      </c>
      <c r="AZ9" t="s">
        <v>16</v>
      </c>
      <c r="BA9" t="s">
        <v>15</v>
      </c>
      <c r="BB9" t="s">
        <v>16</v>
      </c>
      <c r="BC9" t="s">
        <v>15</v>
      </c>
      <c r="BD9" t="s">
        <v>16</v>
      </c>
      <c r="BE9" t="s">
        <v>15</v>
      </c>
      <c r="BF9" t="s">
        <v>16</v>
      </c>
      <c r="BG9" t="s">
        <v>15</v>
      </c>
      <c r="BH9" t="s">
        <v>16</v>
      </c>
      <c r="BI9" t="s">
        <v>15</v>
      </c>
      <c r="BJ9" t="s">
        <v>16</v>
      </c>
      <c r="BK9" t="s">
        <v>15</v>
      </c>
      <c r="BL9" t="s">
        <v>16</v>
      </c>
      <c r="BM9">
        <v>21051</v>
      </c>
      <c r="BN9">
        <v>11</v>
      </c>
      <c r="BO9">
        <v>20210622</v>
      </c>
      <c r="BP9">
        <v>21062021</v>
      </c>
      <c r="BQ9" t="s">
        <v>16</v>
      </c>
      <c r="BR9">
        <v>0</v>
      </c>
      <c r="BS9" t="s">
        <v>17</v>
      </c>
      <c r="BT9" t="s">
        <v>70</v>
      </c>
    </row>
    <row r="10" spans="1:73">
      <c r="A10" t="s">
        <v>3</v>
      </c>
      <c r="B10" t="str">
        <f>VLOOKUP(J10,[1]Sheet1!$C:$D,2,FALSE)&amp;K10</f>
        <v>22252011</v>
      </c>
      <c r="C10" t="str">
        <f t="shared" si="0"/>
        <v>C</v>
      </c>
      <c r="D10" s="18">
        <f t="shared" si="1"/>
        <v>21.441749999999999</v>
      </c>
      <c r="E10" s="19" t="str">
        <f t="shared" si="2"/>
        <v>2225 - NEWS@CANBERRA AIRPORT</v>
      </c>
      <c r="F10" t="str">
        <f t="shared" si="3"/>
        <v>3UGGS</v>
      </c>
      <c r="J10" s="3">
        <f t="shared" si="4"/>
        <v>2225</v>
      </c>
      <c r="K10" s="3">
        <f t="shared" si="5"/>
        <v>2011</v>
      </c>
      <c r="L10" s="22">
        <f t="shared" si="6"/>
        <v>17.25</v>
      </c>
      <c r="M10" s="22">
        <f t="shared" si="7"/>
        <v>2.2425000000000002</v>
      </c>
      <c r="N10" s="3">
        <f t="shared" si="8"/>
        <v>0</v>
      </c>
      <c r="O10" s="22">
        <f t="shared" si="9"/>
        <v>19.4925</v>
      </c>
      <c r="P10" s="22">
        <f t="shared" si="10"/>
        <v>1.9492500000000001</v>
      </c>
      <c r="Q10" s="3" t="str">
        <f t="shared" si="11"/>
        <v>3UGGS</v>
      </c>
      <c r="R10" s="3" t="str">
        <f t="shared" si="12"/>
        <v>2225 - NEWS@CANBERRA AIRPORT</v>
      </c>
      <c r="T10" t="s">
        <v>22</v>
      </c>
      <c r="U10" t="s">
        <v>52</v>
      </c>
      <c r="V10" t="s">
        <v>37</v>
      </c>
      <c r="W10">
        <v>21062021</v>
      </c>
      <c r="X10" s="17" t="s">
        <v>71</v>
      </c>
      <c r="Y10" t="s">
        <v>72</v>
      </c>
      <c r="Z10" t="s">
        <v>55</v>
      </c>
      <c r="AA10" t="s">
        <v>13</v>
      </c>
      <c r="AB10">
        <v>1</v>
      </c>
      <c r="AC10">
        <v>7.5999999999999998E-2</v>
      </c>
      <c r="AD10">
        <v>19</v>
      </c>
      <c r="AE10" s="1">
        <v>17.25</v>
      </c>
      <c r="AF10" t="s">
        <v>56</v>
      </c>
      <c r="AG10" t="s">
        <v>20</v>
      </c>
      <c r="AH10" t="s">
        <v>57</v>
      </c>
      <c r="AI10" t="s">
        <v>58</v>
      </c>
      <c r="AJ10" t="s">
        <v>59</v>
      </c>
      <c r="AK10">
        <v>2609</v>
      </c>
      <c r="AL10" t="s">
        <v>60</v>
      </c>
      <c r="AM10" t="s">
        <v>21</v>
      </c>
      <c r="AN10">
        <v>21062021</v>
      </c>
      <c r="AO10">
        <v>23062021</v>
      </c>
      <c r="AP10">
        <v>95410</v>
      </c>
      <c r="AQ10" t="s">
        <v>61</v>
      </c>
      <c r="AR10">
        <v>10107299</v>
      </c>
      <c r="AS10" t="s">
        <v>73</v>
      </c>
      <c r="AT10" t="s">
        <v>14</v>
      </c>
      <c r="AU10" t="s">
        <v>15</v>
      </c>
      <c r="AV10" t="s">
        <v>16</v>
      </c>
      <c r="AW10" t="s">
        <v>15</v>
      </c>
      <c r="AX10" t="s">
        <v>16</v>
      </c>
      <c r="AY10" t="s">
        <v>15</v>
      </c>
      <c r="AZ10" t="s">
        <v>16</v>
      </c>
      <c r="BA10" t="s">
        <v>15</v>
      </c>
      <c r="BB10" t="s">
        <v>16</v>
      </c>
      <c r="BC10" t="s">
        <v>15</v>
      </c>
      <c r="BD10" t="s">
        <v>16</v>
      </c>
      <c r="BE10" t="s">
        <v>15</v>
      </c>
      <c r="BF10" t="s">
        <v>16</v>
      </c>
      <c r="BG10" t="s">
        <v>15</v>
      </c>
      <c r="BH10" t="s">
        <v>16</v>
      </c>
      <c r="BI10" t="s">
        <v>15</v>
      </c>
      <c r="BJ10" t="s">
        <v>16</v>
      </c>
      <c r="BK10" t="s">
        <v>15</v>
      </c>
      <c r="BL10" t="s">
        <v>16</v>
      </c>
      <c r="BM10">
        <v>21051</v>
      </c>
      <c r="BN10">
        <v>4</v>
      </c>
      <c r="BO10">
        <v>20210622</v>
      </c>
      <c r="BP10">
        <v>22062021</v>
      </c>
      <c r="BQ10" t="s">
        <v>16</v>
      </c>
      <c r="BR10">
        <v>0</v>
      </c>
      <c r="BS10" t="s">
        <v>17</v>
      </c>
      <c r="BT10" t="s">
        <v>74</v>
      </c>
      <c r="BU10" t="s">
        <v>43</v>
      </c>
    </row>
    <row r="11" spans="1:73">
      <c r="A11" t="s">
        <v>3</v>
      </c>
      <c r="B11" t="str">
        <f>VLOOKUP(J11,[1]Sheet1!$C:$D,2,FALSE)&amp;K11</f>
        <v>81882011</v>
      </c>
      <c r="C11" t="str">
        <f t="shared" si="0"/>
        <v>C</v>
      </c>
      <c r="D11" s="1">
        <f t="shared" si="1"/>
        <v>1477.24335</v>
      </c>
      <c r="E11" t="str">
        <f t="shared" si="2"/>
        <v>NEWS TRAVELS DARWIN - 8188</v>
      </c>
      <c r="F11" t="str">
        <f t="shared" si="3"/>
        <v>M/FOAMPILLO</v>
      </c>
      <c r="J11" s="3">
        <f t="shared" si="4"/>
        <v>8188</v>
      </c>
      <c r="K11" s="3">
        <f t="shared" si="5"/>
        <v>2011</v>
      </c>
      <c r="L11" s="22">
        <f t="shared" si="6"/>
        <v>1188.45</v>
      </c>
      <c r="M11" s="22">
        <f t="shared" si="7"/>
        <v>154.49850000000001</v>
      </c>
      <c r="N11" s="3">
        <f t="shared" si="8"/>
        <v>0</v>
      </c>
      <c r="O11" s="22">
        <f t="shared" si="9"/>
        <v>1342.9485</v>
      </c>
      <c r="P11" s="22">
        <f t="shared" si="10"/>
        <v>134.29485</v>
      </c>
      <c r="Q11" s="3" t="str">
        <f t="shared" si="11"/>
        <v>M/FOAMPILLO</v>
      </c>
      <c r="R11" s="3" t="str">
        <f t="shared" si="12"/>
        <v>NEWS TRAVELS DARWIN - 8188</v>
      </c>
      <c r="T11" t="s">
        <v>22</v>
      </c>
      <c r="U11" t="s">
        <v>36</v>
      </c>
      <c r="V11" t="s">
        <v>37</v>
      </c>
      <c r="W11">
        <v>16062021</v>
      </c>
      <c r="X11" s="17" t="s">
        <v>75</v>
      </c>
      <c r="Y11" t="s">
        <v>76</v>
      </c>
      <c r="Z11" t="s">
        <v>38</v>
      </c>
      <c r="AA11" t="s">
        <v>13</v>
      </c>
      <c r="AB11">
        <v>2</v>
      </c>
      <c r="AC11">
        <v>3.4710000000000001</v>
      </c>
      <c r="AD11">
        <v>695</v>
      </c>
      <c r="AE11" s="1">
        <v>1188.45</v>
      </c>
      <c r="AF11" t="s">
        <v>39</v>
      </c>
      <c r="AG11" t="s">
        <v>20</v>
      </c>
      <c r="AH11" t="s">
        <v>40</v>
      </c>
      <c r="AI11" t="s">
        <v>41</v>
      </c>
      <c r="AJ11" t="s">
        <v>42</v>
      </c>
      <c r="AK11">
        <v>820</v>
      </c>
      <c r="AL11">
        <v>0</v>
      </c>
      <c r="AM11" t="s">
        <v>21</v>
      </c>
      <c r="AN11">
        <v>16062021</v>
      </c>
      <c r="AO11">
        <v>23062021</v>
      </c>
      <c r="AP11">
        <v>111625</v>
      </c>
      <c r="AQ11" t="s">
        <v>77</v>
      </c>
      <c r="AR11">
        <v>10107299</v>
      </c>
      <c r="AS11" t="s">
        <v>78</v>
      </c>
      <c r="AT11" t="s">
        <v>14</v>
      </c>
      <c r="AU11" t="s">
        <v>15</v>
      </c>
      <c r="AV11" t="s">
        <v>16</v>
      </c>
      <c r="AW11" t="s">
        <v>15</v>
      </c>
      <c r="AX11" t="s">
        <v>16</v>
      </c>
      <c r="AY11" t="s">
        <v>15</v>
      </c>
      <c r="AZ11" t="s">
        <v>16</v>
      </c>
      <c r="BA11" t="s">
        <v>15</v>
      </c>
      <c r="BB11" t="s">
        <v>16</v>
      </c>
      <c r="BC11" t="s">
        <v>15</v>
      </c>
      <c r="BD11" t="s">
        <v>16</v>
      </c>
      <c r="BE11" t="s">
        <v>15</v>
      </c>
      <c r="BF11" t="s">
        <v>16</v>
      </c>
      <c r="BG11" t="s">
        <v>15</v>
      </c>
      <c r="BH11" t="s">
        <v>16</v>
      </c>
      <c r="BI11" t="s">
        <v>15</v>
      </c>
      <c r="BJ11" t="s">
        <v>16</v>
      </c>
      <c r="BK11" t="s">
        <v>15</v>
      </c>
      <c r="BL11" t="s">
        <v>16</v>
      </c>
      <c r="BM11">
        <v>21051</v>
      </c>
      <c r="BN11">
        <v>197</v>
      </c>
      <c r="BO11">
        <v>20210622</v>
      </c>
      <c r="BP11">
        <v>23062021</v>
      </c>
      <c r="BQ11" t="s">
        <v>16</v>
      </c>
      <c r="BR11">
        <v>0</v>
      </c>
      <c r="BS11" t="s">
        <v>17</v>
      </c>
      <c r="BT11" t="s">
        <v>79</v>
      </c>
      <c r="BU11" t="s">
        <v>43</v>
      </c>
    </row>
    <row r="12" spans="1:73">
      <c r="A12" t="s">
        <v>3</v>
      </c>
      <c r="B12" t="str">
        <f>VLOOKUP(J12,[1]Sheet1!$C:$D,2,FALSE)&amp;K12</f>
        <v>70642011</v>
      </c>
      <c r="C12" t="str">
        <f t="shared" si="0"/>
        <v>C</v>
      </c>
      <c r="D12" s="1">
        <f t="shared" si="1"/>
        <v>30.764250000000001</v>
      </c>
      <c r="E12" t="str">
        <f t="shared" si="2"/>
        <v>AUSTRALIAN WAY HOBART - 7641</v>
      </c>
      <c r="F12" t="str">
        <f t="shared" si="3"/>
        <v>UGGS</v>
      </c>
      <c r="J12" s="3">
        <f t="shared" si="4"/>
        <v>7641</v>
      </c>
      <c r="K12" s="3">
        <f t="shared" si="5"/>
        <v>2011</v>
      </c>
      <c r="L12" s="22">
        <f t="shared" si="6"/>
        <v>24.75</v>
      </c>
      <c r="M12" s="22">
        <f t="shared" si="7"/>
        <v>3.2175000000000002</v>
      </c>
      <c r="N12" s="3">
        <f t="shared" si="8"/>
        <v>0</v>
      </c>
      <c r="O12" s="22">
        <f t="shared" si="9"/>
        <v>27.967500000000001</v>
      </c>
      <c r="P12" s="22">
        <f t="shared" si="10"/>
        <v>2.7967500000000003</v>
      </c>
      <c r="Q12" s="3" t="str">
        <f t="shared" si="11"/>
        <v>UGGS</v>
      </c>
      <c r="R12" s="3" t="str">
        <f t="shared" si="12"/>
        <v>AUSTRALIAN WAY HOBART - 7641</v>
      </c>
      <c r="T12" t="s">
        <v>22</v>
      </c>
      <c r="U12" t="s">
        <v>44</v>
      </c>
      <c r="V12" t="s">
        <v>37</v>
      </c>
      <c r="W12">
        <v>16062021</v>
      </c>
      <c r="X12" s="17" t="s">
        <v>80</v>
      </c>
      <c r="Y12" t="s">
        <v>54</v>
      </c>
      <c r="Z12" t="s">
        <v>81</v>
      </c>
      <c r="AA12" t="s">
        <v>13</v>
      </c>
      <c r="AB12">
        <v>1</v>
      </c>
      <c r="AC12">
        <v>4.4999999999999998E-2</v>
      </c>
      <c r="AD12">
        <v>12</v>
      </c>
      <c r="AE12" s="1">
        <v>24.75</v>
      </c>
      <c r="AF12" t="s">
        <v>82</v>
      </c>
      <c r="AG12" t="s">
        <v>83</v>
      </c>
      <c r="AH12" t="s">
        <v>84</v>
      </c>
      <c r="AI12" t="s">
        <v>85</v>
      </c>
      <c r="AJ12" t="s">
        <v>45</v>
      </c>
      <c r="AK12">
        <v>7170</v>
      </c>
      <c r="AL12">
        <v>7</v>
      </c>
      <c r="AM12">
        <v>362484190</v>
      </c>
      <c r="AN12">
        <v>16062021</v>
      </c>
      <c r="AO12">
        <v>21062021</v>
      </c>
      <c r="AP12">
        <v>102023</v>
      </c>
      <c r="AQ12" t="s">
        <v>86</v>
      </c>
      <c r="AR12">
        <v>10107299</v>
      </c>
      <c r="AS12" t="s">
        <v>62</v>
      </c>
      <c r="AT12" t="s">
        <v>14</v>
      </c>
      <c r="AU12" t="s">
        <v>15</v>
      </c>
      <c r="AV12" t="s">
        <v>16</v>
      </c>
      <c r="AW12" t="s">
        <v>15</v>
      </c>
      <c r="AX12" t="s">
        <v>16</v>
      </c>
      <c r="AY12" t="s">
        <v>15</v>
      </c>
      <c r="AZ12" t="s">
        <v>16</v>
      </c>
      <c r="BA12" t="s">
        <v>15</v>
      </c>
      <c r="BB12" t="s">
        <v>16</v>
      </c>
      <c r="BC12" t="s">
        <v>15</v>
      </c>
      <c r="BD12" t="s">
        <v>16</v>
      </c>
      <c r="BE12" t="s">
        <v>15</v>
      </c>
      <c r="BF12" t="s">
        <v>16</v>
      </c>
      <c r="BG12" t="s">
        <v>15</v>
      </c>
      <c r="BH12" t="s">
        <v>16</v>
      </c>
      <c r="BI12" t="s">
        <v>15</v>
      </c>
      <c r="BJ12" t="s">
        <v>16</v>
      </c>
      <c r="BK12" t="s">
        <v>15</v>
      </c>
      <c r="BL12" t="s">
        <v>16</v>
      </c>
      <c r="BM12">
        <v>21051</v>
      </c>
      <c r="BN12">
        <v>3</v>
      </c>
      <c r="BO12">
        <v>20210622</v>
      </c>
      <c r="BP12">
        <v>21062021</v>
      </c>
      <c r="BQ12" t="s">
        <v>16</v>
      </c>
      <c r="BR12">
        <v>0</v>
      </c>
      <c r="BS12" t="s">
        <v>17</v>
      </c>
      <c r="BT12" t="s">
        <v>87</v>
      </c>
      <c r="BU12" t="s">
        <v>43</v>
      </c>
    </row>
    <row r="13" spans="1:73">
      <c r="A13" t="s">
        <v>3</v>
      </c>
      <c r="B13" t="str">
        <f>VLOOKUP(J13,[1]Sheet1!$C:$D,2,FALSE)&amp;K13</f>
        <v>70642011</v>
      </c>
      <c r="C13" t="str">
        <f t="shared" si="0"/>
        <v>C</v>
      </c>
      <c r="D13" s="1">
        <f t="shared" si="1"/>
        <v>26.761790000000001</v>
      </c>
      <c r="E13" s="23" t="str">
        <f t="shared" si="2"/>
        <v>AUSTRALIAN WAY HOBART - 7641</v>
      </c>
      <c r="F13" t="str">
        <f t="shared" si="3"/>
        <v>UGGS</v>
      </c>
      <c r="J13" s="3">
        <f t="shared" si="4"/>
        <v>7641</v>
      </c>
      <c r="K13" s="3">
        <f t="shared" si="5"/>
        <v>2011</v>
      </c>
      <c r="L13" s="22">
        <f t="shared" si="6"/>
        <v>21.53</v>
      </c>
      <c r="M13" s="22">
        <f t="shared" si="7"/>
        <v>2.7989000000000002</v>
      </c>
      <c r="N13" s="3">
        <f t="shared" si="8"/>
        <v>0</v>
      </c>
      <c r="O13" s="22">
        <f t="shared" si="9"/>
        <v>24.328900000000001</v>
      </c>
      <c r="P13" s="22">
        <f t="shared" si="10"/>
        <v>2.4328900000000004</v>
      </c>
      <c r="Q13" s="3" t="str">
        <f t="shared" si="11"/>
        <v>UGGS</v>
      </c>
      <c r="R13" s="3" t="str">
        <f t="shared" si="12"/>
        <v>AUSTRALIAN WAY HOBART - 7641</v>
      </c>
      <c r="T13" t="s">
        <v>22</v>
      </c>
      <c r="U13" t="s">
        <v>44</v>
      </c>
      <c r="V13" t="s">
        <v>37</v>
      </c>
      <c r="W13">
        <v>16062021</v>
      </c>
      <c r="X13" s="17" t="s">
        <v>88</v>
      </c>
      <c r="Y13" t="s">
        <v>54</v>
      </c>
      <c r="Z13" t="s">
        <v>81</v>
      </c>
      <c r="AA13" t="s">
        <v>13</v>
      </c>
      <c r="AB13">
        <v>1</v>
      </c>
      <c r="AC13">
        <v>3.5999999999999997E-2</v>
      </c>
      <c r="AD13">
        <v>9</v>
      </c>
      <c r="AE13" s="1">
        <v>21.53</v>
      </c>
      <c r="AF13" t="s">
        <v>82</v>
      </c>
      <c r="AG13" t="s">
        <v>83</v>
      </c>
      <c r="AH13" t="s">
        <v>84</v>
      </c>
      <c r="AI13" t="s">
        <v>85</v>
      </c>
      <c r="AJ13" t="s">
        <v>45</v>
      </c>
      <c r="AK13">
        <v>7170</v>
      </c>
      <c r="AL13">
        <v>7</v>
      </c>
      <c r="AM13">
        <v>362484190</v>
      </c>
      <c r="AN13">
        <v>16062021</v>
      </c>
      <c r="AO13">
        <v>21062021</v>
      </c>
      <c r="AP13">
        <v>101949</v>
      </c>
      <c r="AQ13" t="s">
        <v>86</v>
      </c>
      <c r="AR13">
        <v>10107299</v>
      </c>
      <c r="AS13" t="s">
        <v>62</v>
      </c>
      <c r="AT13" t="s">
        <v>14</v>
      </c>
      <c r="AU13" t="s">
        <v>15</v>
      </c>
      <c r="AV13" t="s">
        <v>16</v>
      </c>
      <c r="AW13" t="s">
        <v>15</v>
      </c>
      <c r="AX13" t="s">
        <v>16</v>
      </c>
      <c r="AY13" t="s">
        <v>15</v>
      </c>
      <c r="AZ13" t="s">
        <v>16</v>
      </c>
      <c r="BA13" t="s">
        <v>15</v>
      </c>
      <c r="BB13" t="s">
        <v>16</v>
      </c>
      <c r="BC13" t="s">
        <v>15</v>
      </c>
      <c r="BD13" t="s">
        <v>16</v>
      </c>
      <c r="BE13" t="s">
        <v>15</v>
      </c>
      <c r="BF13" t="s">
        <v>16</v>
      </c>
      <c r="BG13" t="s">
        <v>15</v>
      </c>
      <c r="BH13" t="s">
        <v>16</v>
      </c>
      <c r="BI13" t="s">
        <v>15</v>
      </c>
      <c r="BJ13" t="s">
        <v>16</v>
      </c>
      <c r="BK13" t="s">
        <v>15</v>
      </c>
      <c r="BL13" t="s">
        <v>16</v>
      </c>
      <c r="BM13">
        <v>21051</v>
      </c>
      <c r="BN13">
        <v>3</v>
      </c>
      <c r="BO13">
        <v>20210622</v>
      </c>
      <c r="BP13">
        <v>21062021</v>
      </c>
      <c r="BQ13" t="s">
        <v>16</v>
      </c>
      <c r="BR13">
        <v>0</v>
      </c>
      <c r="BS13" t="s">
        <v>17</v>
      </c>
      <c r="BT13" t="s">
        <v>89</v>
      </c>
      <c r="BU13" t="s">
        <v>43</v>
      </c>
    </row>
    <row r="14" spans="1:73">
      <c r="A14" t="s">
        <v>3</v>
      </c>
      <c r="B14" t="str">
        <f>VLOOKUP(J14,[1]Sheet1!$C:$D,2,FALSE)&amp;K14</f>
        <v>70782011</v>
      </c>
      <c r="C14" t="str">
        <f t="shared" si="0"/>
        <v>C</v>
      </c>
      <c r="D14" s="18">
        <f t="shared" si="1"/>
        <v>92.23060000000001</v>
      </c>
      <c r="E14" s="19" t="str">
        <f t="shared" si="2"/>
        <v>RUNWAY NEWS HOBART</v>
      </c>
      <c r="F14" t="str">
        <f t="shared" si="3"/>
        <v>READERS</v>
      </c>
      <c r="J14" s="3">
        <v>7078</v>
      </c>
      <c r="K14" s="3">
        <f t="shared" si="5"/>
        <v>2011</v>
      </c>
      <c r="L14" s="22">
        <f t="shared" si="6"/>
        <v>74.2</v>
      </c>
      <c r="M14" s="22">
        <f t="shared" si="7"/>
        <v>9.6460000000000008</v>
      </c>
      <c r="N14" s="3">
        <f t="shared" si="8"/>
        <v>0</v>
      </c>
      <c r="O14" s="22">
        <f t="shared" si="9"/>
        <v>83.846000000000004</v>
      </c>
      <c r="P14" s="22">
        <f t="shared" si="10"/>
        <v>8.3846000000000007</v>
      </c>
      <c r="Q14" s="3" t="str">
        <f t="shared" si="11"/>
        <v>READERS</v>
      </c>
      <c r="R14" s="3" t="str">
        <f t="shared" si="12"/>
        <v>RUNWAY NEWS HOBART</v>
      </c>
      <c r="T14" t="s">
        <v>22</v>
      </c>
      <c r="U14" t="s">
        <v>44</v>
      </c>
      <c r="V14" t="s">
        <v>37</v>
      </c>
      <c r="W14">
        <v>18062021</v>
      </c>
      <c r="X14" s="17" t="s">
        <v>90</v>
      </c>
      <c r="Y14" t="s">
        <v>65</v>
      </c>
      <c r="Z14" t="s">
        <v>46</v>
      </c>
      <c r="AA14" t="s">
        <v>13</v>
      </c>
      <c r="AB14">
        <v>3</v>
      </c>
      <c r="AC14">
        <v>0.23200000000000001</v>
      </c>
      <c r="AD14">
        <v>58</v>
      </c>
      <c r="AE14" s="1">
        <v>74.2</v>
      </c>
      <c r="AF14" t="s">
        <v>47</v>
      </c>
      <c r="AG14" t="s">
        <v>20</v>
      </c>
      <c r="AH14" t="s">
        <v>48</v>
      </c>
      <c r="AI14" t="s">
        <v>20</v>
      </c>
      <c r="AJ14" t="s">
        <v>45</v>
      </c>
      <c r="AK14">
        <v>7170</v>
      </c>
      <c r="AL14">
        <v>7</v>
      </c>
      <c r="AM14" t="s">
        <v>21</v>
      </c>
      <c r="AN14">
        <v>18062021</v>
      </c>
      <c r="AO14">
        <v>23062021</v>
      </c>
      <c r="AP14">
        <v>101742</v>
      </c>
      <c r="AQ14" t="s">
        <v>91</v>
      </c>
      <c r="AR14">
        <v>10107299</v>
      </c>
      <c r="AS14" t="s">
        <v>67</v>
      </c>
      <c r="AT14" t="s">
        <v>14</v>
      </c>
      <c r="AU14" t="s">
        <v>15</v>
      </c>
      <c r="AV14" t="s">
        <v>16</v>
      </c>
      <c r="AW14" t="s">
        <v>15</v>
      </c>
      <c r="AX14" t="s">
        <v>16</v>
      </c>
      <c r="AY14" t="s">
        <v>15</v>
      </c>
      <c r="AZ14" t="s">
        <v>16</v>
      </c>
      <c r="BA14" t="s">
        <v>15</v>
      </c>
      <c r="BB14" t="s">
        <v>16</v>
      </c>
      <c r="BC14" t="s">
        <v>15</v>
      </c>
      <c r="BD14" t="s">
        <v>16</v>
      </c>
      <c r="BE14" t="s">
        <v>15</v>
      </c>
      <c r="BF14" t="s">
        <v>16</v>
      </c>
      <c r="BG14" t="s">
        <v>15</v>
      </c>
      <c r="BH14" t="s">
        <v>16</v>
      </c>
      <c r="BI14" t="s">
        <v>15</v>
      </c>
      <c r="BJ14" t="s">
        <v>16</v>
      </c>
      <c r="BK14" t="s">
        <v>15</v>
      </c>
      <c r="BL14" t="s">
        <v>16</v>
      </c>
      <c r="BM14">
        <v>21051</v>
      </c>
      <c r="BN14">
        <v>37</v>
      </c>
      <c r="BO14">
        <v>20210622</v>
      </c>
      <c r="BP14">
        <v>23062021</v>
      </c>
      <c r="BQ14" t="s">
        <v>16</v>
      </c>
      <c r="BR14">
        <v>0</v>
      </c>
      <c r="BS14" t="s">
        <v>17</v>
      </c>
      <c r="BT14" t="s">
        <v>92</v>
      </c>
      <c r="BU14" t="s">
        <v>43</v>
      </c>
    </row>
    <row r="15" spans="1:73">
      <c r="A15" t="s">
        <v>3</v>
      </c>
      <c r="B15" t="str">
        <f>VLOOKUP(J15,[1]Sheet1!$C:$D,2,FALSE)&amp;K15</f>
        <v>30192011</v>
      </c>
      <c r="C15" t="str">
        <f t="shared" si="0"/>
        <v>C</v>
      </c>
      <c r="D15" s="1">
        <f t="shared" si="1"/>
        <v>24.723269999999999</v>
      </c>
      <c r="E15" t="str">
        <f t="shared" si="2"/>
        <v>AUSTRALIAN WAY DOM</v>
      </c>
      <c r="F15" t="str">
        <f t="shared" si="3"/>
        <v>SLIP/PILLOW</v>
      </c>
      <c r="J15" s="3">
        <v>3019</v>
      </c>
      <c r="K15" s="3">
        <f t="shared" si="5"/>
        <v>2011</v>
      </c>
      <c r="L15" s="22">
        <f t="shared" si="6"/>
        <v>19.89</v>
      </c>
      <c r="M15" s="22">
        <f t="shared" si="7"/>
        <v>2.5857000000000001</v>
      </c>
      <c r="N15" s="3">
        <f t="shared" si="8"/>
        <v>0</v>
      </c>
      <c r="O15" s="22">
        <f t="shared" si="9"/>
        <v>22.4757</v>
      </c>
      <c r="P15" s="22">
        <f t="shared" si="10"/>
        <v>2.2475700000000001</v>
      </c>
      <c r="Q15" s="3" t="str">
        <f t="shared" si="11"/>
        <v>SLIP/PILLOW</v>
      </c>
      <c r="R15" s="3" t="str">
        <f t="shared" si="12"/>
        <v>AUSTRALIAN WAY DOM</v>
      </c>
      <c r="T15" t="s">
        <v>22</v>
      </c>
      <c r="U15" t="s">
        <v>93</v>
      </c>
      <c r="V15" t="s">
        <v>94</v>
      </c>
      <c r="W15">
        <v>16062021</v>
      </c>
      <c r="X15" s="17" t="s">
        <v>95</v>
      </c>
      <c r="Y15" t="s">
        <v>96</v>
      </c>
      <c r="Z15" t="s">
        <v>97</v>
      </c>
      <c r="AA15" t="s">
        <v>13</v>
      </c>
      <c r="AB15">
        <v>2</v>
      </c>
      <c r="AC15">
        <v>0.159</v>
      </c>
      <c r="AD15">
        <v>40</v>
      </c>
      <c r="AE15" s="1">
        <v>19.89</v>
      </c>
      <c r="AF15" t="s">
        <v>98</v>
      </c>
      <c r="AG15" t="s">
        <v>20</v>
      </c>
      <c r="AH15" t="s">
        <v>99</v>
      </c>
      <c r="AI15" t="s">
        <v>100</v>
      </c>
      <c r="AJ15" t="s">
        <v>101</v>
      </c>
      <c r="AK15">
        <v>3045</v>
      </c>
      <c r="AL15">
        <v>3</v>
      </c>
      <c r="AM15" t="s">
        <v>21</v>
      </c>
      <c r="AN15">
        <v>16062021</v>
      </c>
      <c r="AO15">
        <v>17062021</v>
      </c>
      <c r="AP15">
        <v>84001</v>
      </c>
      <c r="AQ15" t="s">
        <v>102</v>
      </c>
      <c r="AR15">
        <v>10107299</v>
      </c>
      <c r="AS15" t="s">
        <v>103</v>
      </c>
      <c r="AT15" t="s">
        <v>14</v>
      </c>
      <c r="AU15" t="s">
        <v>15</v>
      </c>
      <c r="AV15" t="s">
        <v>16</v>
      </c>
      <c r="AW15" t="s">
        <v>15</v>
      </c>
      <c r="AX15" t="s">
        <v>16</v>
      </c>
      <c r="AY15" t="s">
        <v>15</v>
      </c>
      <c r="AZ15" t="s">
        <v>16</v>
      </c>
      <c r="BA15" t="s">
        <v>15</v>
      </c>
      <c r="BB15" t="s">
        <v>16</v>
      </c>
      <c r="BC15" t="s">
        <v>15</v>
      </c>
      <c r="BD15" t="s">
        <v>16</v>
      </c>
      <c r="BE15" t="s">
        <v>15</v>
      </c>
      <c r="BF15" t="s">
        <v>16</v>
      </c>
      <c r="BG15" t="s">
        <v>15</v>
      </c>
      <c r="BH15" t="s">
        <v>16</v>
      </c>
      <c r="BI15" t="s">
        <v>15</v>
      </c>
      <c r="BJ15" t="s">
        <v>16</v>
      </c>
      <c r="BK15" t="s">
        <v>15</v>
      </c>
      <c r="BL15" t="s">
        <v>16</v>
      </c>
      <c r="BM15">
        <v>21051</v>
      </c>
      <c r="BN15">
        <v>10</v>
      </c>
      <c r="BO15">
        <v>20210622</v>
      </c>
      <c r="BP15">
        <v>18062021</v>
      </c>
      <c r="BQ15" t="s">
        <v>16</v>
      </c>
      <c r="BR15">
        <v>0</v>
      </c>
      <c r="BS15" t="s">
        <v>17</v>
      </c>
      <c r="BT15" t="s">
        <v>104</v>
      </c>
    </row>
    <row r="16" spans="1:73">
      <c r="A16" t="s">
        <v>3</v>
      </c>
      <c r="B16" t="str">
        <f>VLOOKUP(J16,[1]Sheet1!$C:$D,2,FALSE)&amp;K16</f>
        <v>30192011</v>
      </c>
      <c r="C16" t="str">
        <f t="shared" si="0"/>
        <v>C</v>
      </c>
      <c r="D16" s="1">
        <f t="shared" si="1"/>
        <v>18.3964</v>
      </c>
      <c r="E16" t="str">
        <f t="shared" si="2"/>
        <v>AUSTRALIAN WAY DOM</v>
      </c>
      <c r="F16" t="str">
        <f t="shared" si="3"/>
        <v>3UGGS</v>
      </c>
      <c r="J16" s="3">
        <v>3019</v>
      </c>
      <c r="K16" s="3">
        <f t="shared" si="5"/>
        <v>2011</v>
      </c>
      <c r="L16" s="22">
        <f t="shared" si="6"/>
        <v>14.8</v>
      </c>
      <c r="M16" s="22">
        <f t="shared" si="7"/>
        <v>1.9240000000000002</v>
      </c>
      <c r="N16" s="3">
        <f t="shared" si="8"/>
        <v>0</v>
      </c>
      <c r="O16" s="22">
        <f t="shared" si="9"/>
        <v>16.724</v>
      </c>
      <c r="P16" s="22">
        <f t="shared" si="10"/>
        <v>1.6724000000000001</v>
      </c>
      <c r="Q16" s="3" t="str">
        <f t="shared" si="11"/>
        <v>3UGGS</v>
      </c>
      <c r="R16" s="3" t="str">
        <f t="shared" si="12"/>
        <v>AUSTRALIAN WAY DOM</v>
      </c>
      <c r="T16" t="s">
        <v>22</v>
      </c>
      <c r="U16" t="s">
        <v>93</v>
      </c>
      <c r="V16" t="s">
        <v>94</v>
      </c>
      <c r="W16">
        <v>18062021</v>
      </c>
      <c r="X16" s="17" t="s">
        <v>105</v>
      </c>
      <c r="Y16" t="s">
        <v>72</v>
      </c>
      <c r="Z16" t="s">
        <v>97</v>
      </c>
      <c r="AA16" t="s">
        <v>13</v>
      </c>
      <c r="AB16">
        <v>1</v>
      </c>
      <c r="AC16">
        <v>8.3000000000000004E-2</v>
      </c>
      <c r="AD16">
        <v>21</v>
      </c>
      <c r="AE16" s="1">
        <v>14.8</v>
      </c>
      <c r="AF16" t="s">
        <v>98</v>
      </c>
      <c r="AG16" t="s">
        <v>20</v>
      </c>
      <c r="AH16" t="s">
        <v>99</v>
      </c>
      <c r="AI16" t="s">
        <v>100</v>
      </c>
      <c r="AJ16" t="s">
        <v>101</v>
      </c>
      <c r="AK16">
        <v>3045</v>
      </c>
      <c r="AL16">
        <v>3</v>
      </c>
      <c r="AM16" t="s">
        <v>21</v>
      </c>
      <c r="AN16">
        <v>18062021</v>
      </c>
      <c r="AO16">
        <v>21062021</v>
      </c>
      <c r="AP16">
        <v>82445</v>
      </c>
      <c r="AQ16" t="s">
        <v>102</v>
      </c>
      <c r="AR16">
        <v>10107299</v>
      </c>
      <c r="AS16" t="s">
        <v>73</v>
      </c>
      <c r="AT16" t="s">
        <v>14</v>
      </c>
      <c r="AU16" t="s">
        <v>15</v>
      </c>
      <c r="AV16" t="s">
        <v>16</v>
      </c>
      <c r="AW16" t="s">
        <v>15</v>
      </c>
      <c r="AX16" t="s">
        <v>16</v>
      </c>
      <c r="AY16" t="s">
        <v>15</v>
      </c>
      <c r="AZ16" t="s">
        <v>16</v>
      </c>
      <c r="BA16" t="s">
        <v>15</v>
      </c>
      <c r="BB16" t="s">
        <v>16</v>
      </c>
      <c r="BC16" t="s">
        <v>15</v>
      </c>
      <c r="BD16" t="s">
        <v>16</v>
      </c>
      <c r="BE16" t="s">
        <v>15</v>
      </c>
      <c r="BF16" t="s">
        <v>16</v>
      </c>
      <c r="BG16" t="s">
        <v>15</v>
      </c>
      <c r="BH16" t="s">
        <v>16</v>
      </c>
      <c r="BI16" t="s">
        <v>15</v>
      </c>
      <c r="BJ16" t="s">
        <v>16</v>
      </c>
      <c r="BK16" t="s">
        <v>15</v>
      </c>
      <c r="BL16" t="s">
        <v>16</v>
      </c>
      <c r="BM16">
        <v>21051</v>
      </c>
      <c r="BN16">
        <v>4</v>
      </c>
      <c r="BO16">
        <v>20210622</v>
      </c>
      <c r="BP16">
        <v>21062021</v>
      </c>
      <c r="BQ16" t="s">
        <v>16</v>
      </c>
      <c r="BR16">
        <v>0</v>
      </c>
      <c r="BS16" t="s">
        <v>17</v>
      </c>
      <c r="BT16" t="s">
        <v>106</v>
      </c>
      <c r="BU16" t="s">
        <v>43</v>
      </c>
    </row>
    <row r="17" spans="1:73">
      <c r="A17" t="s">
        <v>3</v>
      </c>
      <c r="B17" t="str">
        <f>VLOOKUP(J17,[1]Sheet1!$C:$D,2,FALSE)&amp;K17</f>
        <v>99902011</v>
      </c>
      <c r="C17" t="str">
        <f t="shared" si="0"/>
        <v>C</v>
      </c>
      <c r="D17" s="1">
        <f t="shared" si="1"/>
        <v>11.23672</v>
      </c>
      <c r="E17" t="str">
        <f t="shared" si="2"/>
        <v>TRACI EATHORNE</v>
      </c>
      <c r="F17" t="str">
        <f t="shared" si="3"/>
        <v>JSMC-GIFT</v>
      </c>
      <c r="J17" s="3">
        <v>9990</v>
      </c>
      <c r="K17" s="3">
        <f t="shared" si="5"/>
        <v>2011</v>
      </c>
      <c r="L17" s="22">
        <f t="shared" si="6"/>
        <v>9.0399999999999991</v>
      </c>
      <c r="M17" s="22">
        <f t="shared" si="7"/>
        <v>1.1752</v>
      </c>
      <c r="N17" s="3">
        <f t="shared" si="8"/>
        <v>0</v>
      </c>
      <c r="O17" s="22">
        <f t="shared" si="9"/>
        <v>10.215199999999999</v>
      </c>
      <c r="P17" s="22">
        <f t="shared" si="10"/>
        <v>1.02152</v>
      </c>
      <c r="Q17" s="3" t="str">
        <f t="shared" si="11"/>
        <v>JSMC-GIFT</v>
      </c>
      <c r="R17" s="3" t="str">
        <f t="shared" si="12"/>
        <v>TRACI EATHORNE</v>
      </c>
      <c r="T17" t="s">
        <v>22</v>
      </c>
      <c r="U17" t="s">
        <v>22</v>
      </c>
      <c r="V17" t="s">
        <v>107</v>
      </c>
      <c r="W17">
        <v>21062021</v>
      </c>
      <c r="X17" s="17" t="s">
        <v>108</v>
      </c>
      <c r="Y17" t="s">
        <v>109</v>
      </c>
      <c r="Z17" t="s">
        <v>110</v>
      </c>
      <c r="AA17" t="s">
        <v>13</v>
      </c>
      <c r="AB17">
        <v>1</v>
      </c>
      <c r="AC17">
        <v>0</v>
      </c>
      <c r="AD17">
        <v>1</v>
      </c>
      <c r="AE17" s="1">
        <v>9.0399999999999991</v>
      </c>
      <c r="AF17" t="s">
        <v>111</v>
      </c>
      <c r="AG17" t="s">
        <v>20</v>
      </c>
      <c r="AH17" t="s">
        <v>112</v>
      </c>
      <c r="AI17" t="s">
        <v>20</v>
      </c>
      <c r="AJ17" t="s">
        <v>113</v>
      </c>
      <c r="AK17">
        <v>3124</v>
      </c>
      <c r="AL17">
        <v>3</v>
      </c>
      <c r="AM17" t="s">
        <v>21</v>
      </c>
      <c r="AN17">
        <v>21062021</v>
      </c>
      <c r="AO17">
        <v>22062021</v>
      </c>
      <c r="AP17">
        <v>111334</v>
      </c>
      <c r="AQ17" t="s">
        <v>114</v>
      </c>
      <c r="AR17">
        <v>10107299</v>
      </c>
      <c r="AS17" t="s">
        <v>115</v>
      </c>
      <c r="AT17" t="s">
        <v>14</v>
      </c>
      <c r="AU17" t="s">
        <v>15</v>
      </c>
      <c r="AV17" t="s">
        <v>16</v>
      </c>
      <c r="AW17" t="s">
        <v>15</v>
      </c>
      <c r="AX17" t="s">
        <v>16</v>
      </c>
      <c r="AY17" t="s">
        <v>15</v>
      </c>
      <c r="AZ17" t="s">
        <v>16</v>
      </c>
      <c r="BA17" t="s">
        <v>15</v>
      </c>
      <c r="BB17" t="s">
        <v>16</v>
      </c>
      <c r="BC17" t="s">
        <v>15</v>
      </c>
      <c r="BD17" t="s">
        <v>16</v>
      </c>
      <c r="BE17" t="s">
        <v>15</v>
      </c>
      <c r="BF17" t="s">
        <v>16</v>
      </c>
      <c r="BG17" t="s">
        <v>15</v>
      </c>
      <c r="BH17" t="s">
        <v>16</v>
      </c>
      <c r="BI17" t="s">
        <v>15</v>
      </c>
      <c r="BJ17" t="s">
        <v>16</v>
      </c>
      <c r="BK17" t="s">
        <v>15</v>
      </c>
      <c r="BL17" t="s">
        <v>16</v>
      </c>
      <c r="BM17">
        <v>21051</v>
      </c>
      <c r="BN17">
        <v>1</v>
      </c>
      <c r="BO17">
        <v>20210622</v>
      </c>
      <c r="BP17">
        <v>22062021</v>
      </c>
      <c r="BQ17" t="s">
        <v>16</v>
      </c>
      <c r="BR17">
        <v>0</v>
      </c>
      <c r="BS17" t="s">
        <v>17</v>
      </c>
      <c r="BT17" t="s">
        <v>116</v>
      </c>
    </row>
    <row r="18" spans="1:73">
      <c r="A18" t="s">
        <v>3</v>
      </c>
      <c r="B18" t="str">
        <f>VLOOKUP(J18,[1]Sheet1!$C:$D,2,FALSE)&amp;K18</f>
        <v>99902011</v>
      </c>
      <c r="C18" t="str">
        <f t="shared" si="0"/>
        <v>C</v>
      </c>
      <c r="D18" s="1">
        <f t="shared" si="1"/>
        <v>11.23672</v>
      </c>
      <c r="E18" t="str">
        <f t="shared" si="2"/>
        <v>AMANDA PHILLIPS</v>
      </c>
      <c r="F18" t="str">
        <f t="shared" si="3"/>
        <v>JSMC-GIFT</v>
      </c>
      <c r="J18" s="3">
        <v>9990</v>
      </c>
      <c r="K18" s="3">
        <f t="shared" si="5"/>
        <v>2011</v>
      </c>
      <c r="L18" s="22">
        <f t="shared" si="6"/>
        <v>9.0399999999999991</v>
      </c>
      <c r="M18" s="22">
        <f t="shared" si="7"/>
        <v>1.1752</v>
      </c>
      <c r="N18" s="3">
        <f t="shared" si="8"/>
        <v>0</v>
      </c>
      <c r="O18" s="22">
        <f t="shared" si="9"/>
        <v>10.215199999999999</v>
      </c>
      <c r="P18" s="22">
        <f t="shared" si="10"/>
        <v>1.02152</v>
      </c>
      <c r="Q18" s="3" t="str">
        <f t="shared" si="11"/>
        <v>JSMC-GIFT</v>
      </c>
      <c r="R18" s="3" t="str">
        <f t="shared" si="12"/>
        <v>AMANDA PHILLIPS</v>
      </c>
      <c r="T18" t="s">
        <v>22</v>
      </c>
      <c r="U18" t="s">
        <v>22</v>
      </c>
      <c r="V18" t="s">
        <v>107</v>
      </c>
      <c r="W18">
        <v>21062021</v>
      </c>
      <c r="X18" s="17" t="s">
        <v>117</v>
      </c>
      <c r="Y18" t="s">
        <v>109</v>
      </c>
      <c r="Z18" t="s">
        <v>118</v>
      </c>
      <c r="AA18" t="s">
        <v>13</v>
      </c>
      <c r="AB18">
        <v>1</v>
      </c>
      <c r="AC18">
        <v>0</v>
      </c>
      <c r="AD18">
        <v>1</v>
      </c>
      <c r="AE18" s="1">
        <v>9.0399999999999991</v>
      </c>
      <c r="AF18" t="s">
        <v>119</v>
      </c>
      <c r="AG18" t="s">
        <v>120</v>
      </c>
      <c r="AH18" t="s">
        <v>121</v>
      </c>
      <c r="AI18" t="s">
        <v>20</v>
      </c>
      <c r="AJ18" t="s">
        <v>101</v>
      </c>
      <c r="AK18">
        <v>3045</v>
      </c>
      <c r="AL18">
        <v>3</v>
      </c>
      <c r="AM18" t="s">
        <v>21</v>
      </c>
      <c r="AN18">
        <v>21062021</v>
      </c>
      <c r="AO18">
        <v>22062021</v>
      </c>
      <c r="AP18">
        <v>100315</v>
      </c>
      <c r="AQ18" t="s">
        <v>122</v>
      </c>
      <c r="AR18">
        <v>10107299</v>
      </c>
      <c r="AS18" t="s">
        <v>115</v>
      </c>
      <c r="AT18" t="s">
        <v>14</v>
      </c>
      <c r="AU18" t="s">
        <v>15</v>
      </c>
      <c r="AV18" t="s">
        <v>16</v>
      </c>
      <c r="AW18" t="s">
        <v>15</v>
      </c>
      <c r="AX18" t="s">
        <v>16</v>
      </c>
      <c r="AY18" t="s">
        <v>15</v>
      </c>
      <c r="AZ18" t="s">
        <v>16</v>
      </c>
      <c r="BA18" t="s">
        <v>15</v>
      </c>
      <c r="BB18" t="s">
        <v>16</v>
      </c>
      <c r="BC18" t="s">
        <v>15</v>
      </c>
      <c r="BD18" t="s">
        <v>16</v>
      </c>
      <c r="BE18" t="s">
        <v>15</v>
      </c>
      <c r="BF18" t="s">
        <v>16</v>
      </c>
      <c r="BG18" t="s">
        <v>15</v>
      </c>
      <c r="BH18" t="s">
        <v>16</v>
      </c>
      <c r="BI18" t="s">
        <v>15</v>
      </c>
      <c r="BJ18" t="s">
        <v>16</v>
      </c>
      <c r="BK18" t="s">
        <v>15</v>
      </c>
      <c r="BL18" t="s">
        <v>16</v>
      </c>
      <c r="BM18">
        <v>21051</v>
      </c>
      <c r="BN18">
        <v>1</v>
      </c>
      <c r="BO18">
        <v>20210622</v>
      </c>
      <c r="BP18">
        <v>22062021</v>
      </c>
      <c r="BQ18" t="s">
        <v>16</v>
      </c>
      <c r="BR18">
        <v>0</v>
      </c>
      <c r="BS18" t="s">
        <v>17</v>
      </c>
      <c r="BT18" t="s">
        <v>123</v>
      </c>
    </row>
    <row r="19" spans="1:73">
      <c r="A19" t="s">
        <v>3</v>
      </c>
      <c r="B19" t="str">
        <f>VLOOKUP(J19,[1]Sheet1!$C:$D,2,FALSE)&amp;K19</f>
        <v>99902011</v>
      </c>
      <c r="C19" t="str">
        <f t="shared" si="0"/>
        <v>C</v>
      </c>
      <c r="D19" s="1">
        <f t="shared" si="1"/>
        <v>11.23672</v>
      </c>
      <c r="E19" t="str">
        <f t="shared" si="2"/>
        <v>CRAIG LOVETT</v>
      </c>
      <c r="F19" t="str">
        <f t="shared" si="3"/>
        <v>JSMC-GIFT</v>
      </c>
      <c r="J19" s="3">
        <v>9990</v>
      </c>
      <c r="K19" s="3">
        <f t="shared" si="5"/>
        <v>2011</v>
      </c>
      <c r="L19" s="22">
        <f t="shared" si="6"/>
        <v>9.0399999999999991</v>
      </c>
      <c r="M19" s="22">
        <f t="shared" si="7"/>
        <v>1.1752</v>
      </c>
      <c r="N19" s="3">
        <f t="shared" si="8"/>
        <v>0</v>
      </c>
      <c r="O19" s="22">
        <f t="shared" si="9"/>
        <v>10.215199999999999</v>
      </c>
      <c r="P19" s="22">
        <f t="shared" si="10"/>
        <v>1.02152</v>
      </c>
      <c r="Q19" s="3" t="str">
        <f t="shared" si="11"/>
        <v>JSMC-GIFT</v>
      </c>
      <c r="R19" s="3" t="str">
        <f t="shared" si="12"/>
        <v>CRAIG LOVETT</v>
      </c>
      <c r="T19" t="s">
        <v>22</v>
      </c>
      <c r="U19" t="s">
        <v>22</v>
      </c>
      <c r="V19" t="s">
        <v>107</v>
      </c>
      <c r="W19">
        <v>21062021</v>
      </c>
      <c r="X19" s="17" t="s">
        <v>124</v>
      </c>
      <c r="Y19" t="s">
        <v>109</v>
      </c>
      <c r="Z19" t="s">
        <v>125</v>
      </c>
      <c r="AA19" t="s">
        <v>13</v>
      </c>
      <c r="AB19">
        <v>1</v>
      </c>
      <c r="AC19">
        <v>0</v>
      </c>
      <c r="AD19">
        <v>1</v>
      </c>
      <c r="AE19" s="1">
        <v>9.0399999999999991</v>
      </c>
      <c r="AF19" t="s">
        <v>126</v>
      </c>
      <c r="AG19" t="s">
        <v>20</v>
      </c>
      <c r="AH19" t="s">
        <v>127</v>
      </c>
      <c r="AI19" t="s">
        <v>128</v>
      </c>
      <c r="AJ19" t="s">
        <v>129</v>
      </c>
      <c r="AK19">
        <v>3008</v>
      </c>
      <c r="AL19">
        <v>3</v>
      </c>
      <c r="AM19" t="s">
        <v>21</v>
      </c>
      <c r="AN19">
        <v>21062021</v>
      </c>
      <c r="AO19">
        <v>22062021</v>
      </c>
      <c r="AP19">
        <v>153805</v>
      </c>
      <c r="AQ19" t="s">
        <v>130</v>
      </c>
      <c r="AR19">
        <v>10107299</v>
      </c>
      <c r="AS19" t="s">
        <v>115</v>
      </c>
      <c r="AT19" t="s">
        <v>14</v>
      </c>
      <c r="AU19" t="s">
        <v>15</v>
      </c>
      <c r="AV19" t="s">
        <v>16</v>
      </c>
      <c r="AW19" t="s">
        <v>15</v>
      </c>
      <c r="AX19" t="s">
        <v>16</v>
      </c>
      <c r="AY19" t="s">
        <v>15</v>
      </c>
      <c r="AZ19" t="s">
        <v>16</v>
      </c>
      <c r="BA19" t="s">
        <v>15</v>
      </c>
      <c r="BB19" t="s">
        <v>16</v>
      </c>
      <c r="BC19" t="s">
        <v>15</v>
      </c>
      <c r="BD19" t="s">
        <v>16</v>
      </c>
      <c r="BE19" t="s">
        <v>15</v>
      </c>
      <c r="BF19" t="s">
        <v>16</v>
      </c>
      <c r="BG19" t="s">
        <v>15</v>
      </c>
      <c r="BH19" t="s">
        <v>16</v>
      </c>
      <c r="BI19" t="s">
        <v>15</v>
      </c>
      <c r="BJ19" t="s">
        <v>16</v>
      </c>
      <c r="BK19" t="s">
        <v>15</v>
      </c>
      <c r="BL19" t="s">
        <v>16</v>
      </c>
      <c r="BM19">
        <v>21051</v>
      </c>
      <c r="BN19">
        <v>1</v>
      </c>
      <c r="BO19">
        <v>20210622</v>
      </c>
      <c r="BP19">
        <v>22062021</v>
      </c>
      <c r="BQ19" t="s">
        <v>16</v>
      </c>
      <c r="BR19">
        <v>0</v>
      </c>
      <c r="BS19" t="s">
        <v>17</v>
      </c>
      <c r="BT19" t="s">
        <v>131</v>
      </c>
    </row>
    <row r="20" spans="1:73">
      <c r="A20" t="s">
        <v>3</v>
      </c>
      <c r="B20" t="str">
        <f>VLOOKUP(J20,[1]Sheet1!$C:$D,2,FALSE)&amp;K20</f>
        <v>99902011</v>
      </c>
      <c r="C20" t="str">
        <f t="shared" si="0"/>
        <v>C</v>
      </c>
      <c r="D20" s="27">
        <f t="shared" si="1"/>
        <v>11.23672</v>
      </c>
      <c r="E20" s="19" t="str">
        <f t="shared" si="2"/>
        <v>JASON ABSOLOM</v>
      </c>
      <c r="F20" t="str">
        <f t="shared" si="3"/>
        <v>JSMC-GIFT</v>
      </c>
      <c r="J20" s="3">
        <v>9990</v>
      </c>
      <c r="K20" s="3">
        <f t="shared" si="5"/>
        <v>2011</v>
      </c>
      <c r="L20" s="22">
        <f t="shared" si="6"/>
        <v>9.0399999999999991</v>
      </c>
      <c r="M20" s="22">
        <f t="shared" si="7"/>
        <v>1.1752</v>
      </c>
      <c r="N20" s="3">
        <f t="shared" si="8"/>
        <v>0</v>
      </c>
      <c r="O20" s="22">
        <f t="shared" si="9"/>
        <v>10.215199999999999</v>
      </c>
      <c r="P20" s="22">
        <f t="shared" si="10"/>
        <v>1.02152</v>
      </c>
      <c r="Q20" s="3" t="str">
        <f t="shared" si="11"/>
        <v>JSMC-GIFT</v>
      </c>
      <c r="R20" s="3" t="str">
        <f t="shared" si="12"/>
        <v>JASON ABSOLOM</v>
      </c>
      <c r="T20" t="s">
        <v>22</v>
      </c>
      <c r="U20" t="s">
        <v>132</v>
      </c>
      <c r="V20" t="s">
        <v>107</v>
      </c>
      <c r="W20">
        <v>21062021</v>
      </c>
      <c r="X20" s="17" t="s">
        <v>133</v>
      </c>
      <c r="Y20" t="s">
        <v>109</v>
      </c>
      <c r="Z20" t="s">
        <v>134</v>
      </c>
      <c r="AA20" t="s">
        <v>13</v>
      </c>
      <c r="AB20">
        <v>1</v>
      </c>
      <c r="AC20">
        <v>0</v>
      </c>
      <c r="AD20">
        <v>1</v>
      </c>
      <c r="AE20" s="1">
        <v>9.0399999999999991</v>
      </c>
      <c r="AF20" t="s">
        <v>135</v>
      </c>
      <c r="AG20" t="s">
        <v>136</v>
      </c>
      <c r="AH20" t="s">
        <v>137</v>
      </c>
      <c r="AI20" t="s">
        <v>20</v>
      </c>
      <c r="AJ20" t="s">
        <v>138</v>
      </c>
      <c r="AK20">
        <v>3199</v>
      </c>
      <c r="AL20">
        <v>3</v>
      </c>
      <c r="AM20" t="s">
        <v>21</v>
      </c>
      <c r="AN20">
        <v>21062021</v>
      </c>
      <c r="AO20" t="s">
        <v>35</v>
      </c>
      <c r="AP20" t="s">
        <v>34</v>
      </c>
      <c r="AQ20" t="s">
        <v>15</v>
      </c>
      <c r="AR20">
        <v>10107299</v>
      </c>
      <c r="AS20" t="s">
        <v>115</v>
      </c>
      <c r="AT20" t="s">
        <v>14</v>
      </c>
      <c r="AU20" t="s">
        <v>15</v>
      </c>
      <c r="AV20" t="s">
        <v>16</v>
      </c>
      <c r="AW20" t="s">
        <v>15</v>
      </c>
      <c r="AX20" t="s">
        <v>16</v>
      </c>
      <c r="AY20" t="s">
        <v>15</v>
      </c>
      <c r="AZ20" t="s">
        <v>16</v>
      </c>
      <c r="BA20" t="s">
        <v>15</v>
      </c>
      <c r="BB20" t="s">
        <v>16</v>
      </c>
      <c r="BC20" t="s">
        <v>15</v>
      </c>
      <c r="BD20" t="s">
        <v>16</v>
      </c>
      <c r="BE20" t="s">
        <v>15</v>
      </c>
      <c r="BF20" t="s">
        <v>16</v>
      </c>
      <c r="BG20" t="s">
        <v>15</v>
      </c>
      <c r="BH20" t="s">
        <v>16</v>
      </c>
      <c r="BI20" t="s">
        <v>15</v>
      </c>
      <c r="BJ20" t="s">
        <v>16</v>
      </c>
      <c r="BK20" t="s">
        <v>15</v>
      </c>
      <c r="BL20" t="s">
        <v>16</v>
      </c>
      <c r="BM20">
        <v>21051</v>
      </c>
      <c r="BN20">
        <v>1</v>
      </c>
      <c r="BO20">
        <v>20210622</v>
      </c>
      <c r="BP20">
        <v>22062021</v>
      </c>
      <c r="BQ20" t="s">
        <v>16</v>
      </c>
      <c r="BR20">
        <v>0</v>
      </c>
      <c r="BS20" t="s">
        <v>17</v>
      </c>
      <c r="BT20" t="s">
        <v>139</v>
      </c>
    </row>
    <row r="21" spans="1:73">
      <c r="A21" t="s">
        <v>3</v>
      </c>
      <c r="B21" t="str">
        <f>VLOOKUP(J21,[1]Sheet1!$C:$D,2,FALSE)&amp;K21</f>
        <v>24502011</v>
      </c>
      <c r="C21" t="str">
        <f t="shared" si="0"/>
        <v>C</v>
      </c>
      <c r="D21" s="18">
        <f t="shared" si="1"/>
        <v>44.250799999999998</v>
      </c>
      <c r="E21" s="19" t="str">
        <f t="shared" si="2"/>
        <v>NEWS TRAVELS - 2450</v>
      </c>
      <c r="F21" t="str">
        <f t="shared" si="3"/>
        <v>GLASSES</v>
      </c>
      <c r="J21" s="3">
        <f t="shared" si="4"/>
        <v>2450</v>
      </c>
      <c r="K21" s="3">
        <f t="shared" si="5"/>
        <v>2011</v>
      </c>
      <c r="L21" s="22">
        <f t="shared" si="6"/>
        <v>35.6</v>
      </c>
      <c r="M21" s="22">
        <f t="shared" si="7"/>
        <v>4.6280000000000001</v>
      </c>
      <c r="N21" s="3">
        <f t="shared" si="8"/>
        <v>0</v>
      </c>
      <c r="O21" s="22">
        <f t="shared" si="9"/>
        <v>40.228000000000002</v>
      </c>
      <c r="P21" s="22">
        <f t="shared" si="10"/>
        <v>4.0228000000000002</v>
      </c>
      <c r="Q21" s="3" t="str">
        <f t="shared" si="11"/>
        <v>GLASSES</v>
      </c>
      <c r="R21" s="3" t="str">
        <f t="shared" si="12"/>
        <v>NEWS TRAVELS - 2450</v>
      </c>
      <c r="T21" t="s">
        <v>22</v>
      </c>
      <c r="U21" t="s">
        <v>140</v>
      </c>
      <c r="V21" t="s">
        <v>37</v>
      </c>
      <c r="W21">
        <v>16062021</v>
      </c>
      <c r="X21" s="17" t="s">
        <v>141</v>
      </c>
      <c r="Y21" t="s">
        <v>142</v>
      </c>
      <c r="Z21" t="s">
        <v>143</v>
      </c>
      <c r="AA21" t="s">
        <v>13</v>
      </c>
      <c r="AB21">
        <v>4</v>
      </c>
      <c r="AC21">
        <v>0.16</v>
      </c>
      <c r="AD21">
        <v>40</v>
      </c>
      <c r="AE21" s="1">
        <v>35.6</v>
      </c>
      <c r="AF21" t="s">
        <v>144</v>
      </c>
      <c r="AG21" t="s">
        <v>20</v>
      </c>
      <c r="AH21" t="s">
        <v>145</v>
      </c>
      <c r="AI21" t="s">
        <v>146</v>
      </c>
      <c r="AJ21" t="s">
        <v>147</v>
      </c>
      <c r="AK21">
        <v>2318</v>
      </c>
      <c r="AL21">
        <v>2</v>
      </c>
      <c r="AM21" t="s">
        <v>21</v>
      </c>
      <c r="AN21">
        <v>16062021</v>
      </c>
      <c r="AO21">
        <v>22062021</v>
      </c>
      <c r="AP21">
        <v>113120</v>
      </c>
      <c r="AQ21" t="s">
        <v>148</v>
      </c>
      <c r="AR21">
        <v>10107299</v>
      </c>
      <c r="AS21" t="s">
        <v>149</v>
      </c>
      <c r="AT21" t="s">
        <v>14</v>
      </c>
      <c r="AU21" t="s">
        <v>15</v>
      </c>
      <c r="AV21" t="s">
        <v>16</v>
      </c>
      <c r="AW21" t="s">
        <v>15</v>
      </c>
      <c r="AX21" t="s">
        <v>16</v>
      </c>
      <c r="AY21" t="s">
        <v>15</v>
      </c>
      <c r="AZ21" t="s">
        <v>16</v>
      </c>
      <c r="BA21" t="s">
        <v>15</v>
      </c>
      <c r="BB21" t="s">
        <v>16</v>
      </c>
      <c r="BC21" t="s">
        <v>15</v>
      </c>
      <c r="BD21" t="s">
        <v>16</v>
      </c>
      <c r="BE21" t="s">
        <v>15</v>
      </c>
      <c r="BF21" t="s">
        <v>16</v>
      </c>
      <c r="BG21" t="s">
        <v>15</v>
      </c>
      <c r="BH21" t="s">
        <v>16</v>
      </c>
      <c r="BI21" t="s">
        <v>15</v>
      </c>
      <c r="BJ21" t="s">
        <v>16</v>
      </c>
      <c r="BK21" t="s">
        <v>15</v>
      </c>
      <c r="BL21" t="s">
        <v>16</v>
      </c>
      <c r="BM21">
        <v>21051</v>
      </c>
      <c r="BN21">
        <v>31</v>
      </c>
      <c r="BO21">
        <v>20210622</v>
      </c>
      <c r="BP21">
        <v>22062021</v>
      </c>
      <c r="BQ21" t="s">
        <v>16</v>
      </c>
      <c r="BR21">
        <v>0</v>
      </c>
      <c r="BS21" t="s">
        <v>17</v>
      </c>
      <c r="BT21" t="s">
        <v>150</v>
      </c>
      <c r="BU21" t="s">
        <v>43</v>
      </c>
    </row>
    <row r="22" spans="1:73">
      <c r="A22" t="s">
        <v>3</v>
      </c>
      <c r="B22" t="str">
        <f>VLOOKUP(J22,[1]Sheet1!$C:$D,2,FALSE)&amp;K22</f>
        <v>61762011</v>
      </c>
      <c r="C22" t="str">
        <f t="shared" si="0"/>
        <v>C</v>
      </c>
      <c r="D22" s="1">
        <f t="shared" si="1"/>
        <v>34.65484</v>
      </c>
      <c r="E22" t="str">
        <f t="shared" si="2"/>
        <v>MERCHANT PERTH DOMESTIC - 6176</v>
      </c>
      <c r="F22" t="str">
        <f t="shared" si="3"/>
        <v>POSSUM</v>
      </c>
      <c r="J22" s="3">
        <f t="shared" si="4"/>
        <v>6176</v>
      </c>
      <c r="K22" s="3">
        <f t="shared" si="5"/>
        <v>2011</v>
      </c>
      <c r="L22" s="22">
        <f t="shared" si="6"/>
        <v>27.88</v>
      </c>
      <c r="M22" s="22">
        <f t="shared" si="7"/>
        <v>3.6244000000000001</v>
      </c>
      <c r="N22" s="3">
        <f t="shared" si="8"/>
        <v>0</v>
      </c>
      <c r="O22" s="22">
        <f t="shared" si="9"/>
        <v>31.5044</v>
      </c>
      <c r="P22" s="22">
        <f t="shared" si="10"/>
        <v>3.1504400000000001</v>
      </c>
      <c r="Q22" s="3" t="str">
        <f t="shared" si="11"/>
        <v>POSSUM</v>
      </c>
      <c r="R22" s="3" t="str">
        <f t="shared" si="12"/>
        <v>MERCHANT PERTH DOMESTIC - 6176</v>
      </c>
      <c r="T22" t="s">
        <v>22</v>
      </c>
      <c r="U22" t="s">
        <v>151</v>
      </c>
      <c r="V22" t="s">
        <v>37</v>
      </c>
      <c r="W22">
        <v>16062021</v>
      </c>
      <c r="X22" s="17" t="s">
        <v>152</v>
      </c>
      <c r="Y22" t="s">
        <v>153</v>
      </c>
      <c r="Z22" t="s">
        <v>154</v>
      </c>
      <c r="AA22" t="s">
        <v>13</v>
      </c>
      <c r="AB22">
        <v>1</v>
      </c>
      <c r="AC22">
        <v>8.1000000000000003E-2</v>
      </c>
      <c r="AD22">
        <v>17</v>
      </c>
      <c r="AE22" s="1">
        <v>27.88</v>
      </c>
      <c r="AF22" t="s">
        <v>155</v>
      </c>
      <c r="AG22" t="s">
        <v>156</v>
      </c>
      <c r="AH22" t="s">
        <v>157</v>
      </c>
      <c r="AI22" t="s">
        <v>158</v>
      </c>
      <c r="AJ22" t="s">
        <v>159</v>
      </c>
      <c r="AK22">
        <v>6104</v>
      </c>
      <c r="AL22">
        <v>6</v>
      </c>
      <c r="AM22">
        <v>894771111</v>
      </c>
      <c r="AN22">
        <v>16062021</v>
      </c>
      <c r="AO22" t="s">
        <v>35</v>
      </c>
      <c r="AP22" t="s">
        <v>34</v>
      </c>
      <c r="AQ22" t="s">
        <v>15</v>
      </c>
      <c r="AR22">
        <v>10107299</v>
      </c>
      <c r="AS22" t="s">
        <v>160</v>
      </c>
      <c r="AT22" t="s">
        <v>14</v>
      </c>
      <c r="AU22" t="s">
        <v>15</v>
      </c>
      <c r="AV22" t="s">
        <v>16</v>
      </c>
      <c r="AW22" t="s">
        <v>15</v>
      </c>
      <c r="AX22" t="s">
        <v>16</v>
      </c>
      <c r="AY22" t="s">
        <v>15</v>
      </c>
      <c r="AZ22" t="s">
        <v>16</v>
      </c>
      <c r="BA22" t="s">
        <v>15</v>
      </c>
      <c r="BB22" t="s">
        <v>16</v>
      </c>
      <c r="BC22" t="s">
        <v>15</v>
      </c>
      <c r="BD22" t="s">
        <v>16</v>
      </c>
      <c r="BE22" t="s">
        <v>15</v>
      </c>
      <c r="BF22" t="s">
        <v>16</v>
      </c>
      <c r="BG22" t="s">
        <v>15</v>
      </c>
      <c r="BH22" t="s">
        <v>16</v>
      </c>
      <c r="BI22" t="s">
        <v>15</v>
      </c>
      <c r="BJ22" t="s">
        <v>16</v>
      </c>
      <c r="BK22" t="s">
        <v>15</v>
      </c>
      <c r="BL22" t="s">
        <v>16</v>
      </c>
      <c r="BM22">
        <v>21051</v>
      </c>
      <c r="BN22">
        <v>8</v>
      </c>
      <c r="BO22">
        <v>20210622</v>
      </c>
      <c r="BP22">
        <v>22062021</v>
      </c>
      <c r="BQ22" t="s">
        <v>16</v>
      </c>
      <c r="BR22">
        <v>0</v>
      </c>
      <c r="BS22" t="s">
        <v>17</v>
      </c>
      <c r="BT22" t="s">
        <v>161</v>
      </c>
      <c r="BU22" t="s">
        <v>43</v>
      </c>
    </row>
    <row r="23" spans="1:73">
      <c r="A23" t="s">
        <v>3</v>
      </c>
      <c r="B23" t="str">
        <f>VLOOKUP(J23,[1]Sheet1!$C:$D,2,FALSE)&amp;K23</f>
        <v>61762011</v>
      </c>
      <c r="C23" t="str">
        <f t="shared" si="0"/>
        <v>C</v>
      </c>
      <c r="D23" s="1">
        <f t="shared" si="1"/>
        <v>1022.4545100000001</v>
      </c>
      <c r="E23" t="str">
        <f t="shared" si="2"/>
        <v>MERCHANT PERTH DOMESTIC - 6176</v>
      </c>
      <c r="F23" t="str">
        <f t="shared" si="3"/>
        <v>UGGBOOTS</v>
      </c>
      <c r="J23" s="3">
        <f t="shared" si="4"/>
        <v>6176</v>
      </c>
      <c r="K23" s="3">
        <f t="shared" si="5"/>
        <v>2011</v>
      </c>
      <c r="L23" s="22">
        <f t="shared" si="6"/>
        <v>822.57</v>
      </c>
      <c r="M23" s="22">
        <f t="shared" si="7"/>
        <v>106.93410000000002</v>
      </c>
      <c r="N23" s="3">
        <f t="shared" si="8"/>
        <v>0</v>
      </c>
      <c r="O23" s="22">
        <f t="shared" si="9"/>
        <v>929.50410000000011</v>
      </c>
      <c r="P23" s="22">
        <f t="shared" si="10"/>
        <v>92.950410000000019</v>
      </c>
      <c r="Q23" s="3" t="str">
        <f t="shared" si="11"/>
        <v>UGGBOOTS</v>
      </c>
      <c r="R23" s="3" t="str">
        <f t="shared" si="12"/>
        <v>MERCHANT PERTH DOMESTIC - 6176</v>
      </c>
      <c r="T23" t="s">
        <v>22</v>
      </c>
      <c r="U23" t="s">
        <v>151</v>
      </c>
      <c r="V23" t="s">
        <v>37</v>
      </c>
      <c r="W23">
        <v>16062021</v>
      </c>
      <c r="X23" s="17" t="s">
        <v>162</v>
      </c>
      <c r="Y23" t="s">
        <v>163</v>
      </c>
      <c r="Z23" t="s">
        <v>154</v>
      </c>
      <c r="AA23" t="s">
        <v>13</v>
      </c>
      <c r="AB23">
        <v>40</v>
      </c>
      <c r="AC23">
        <v>3.83</v>
      </c>
      <c r="AD23">
        <v>766</v>
      </c>
      <c r="AE23" s="1">
        <v>822.57</v>
      </c>
      <c r="AF23" t="s">
        <v>155</v>
      </c>
      <c r="AG23" t="s">
        <v>156</v>
      </c>
      <c r="AH23" t="s">
        <v>157</v>
      </c>
      <c r="AI23" t="s">
        <v>158</v>
      </c>
      <c r="AJ23" t="s">
        <v>159</v>
      </c>
      <c r="AK23">
        <v>6104</v>
      </c>
      <c r="AL23">
        <v>6</v>
      </c>
      <c r="AM23">
        <v>894771111</v>
      </c>
      <c r="AN23">
        <v>16062021</v>
      </c>
      <c r="AO23" t="s">
        <v>35</v>
      </c>
      <c r="AP23" t="s">
        <v>34</v>
      </c>
      <c r="AQ23" t="s">
        <v>15</v>
      </c>
      <c r="AR23">
        <v>10107299</v>
      </c>
      <c r="AS23" t="s">
        <v>164</v>
      </c>
      <c r="AT23" t="s">
        <v>14</v>
      </c>
      <c r="AU23" t="s">
        <v>15</v>
      </c>
      <c r="AV23" t="s">
        <v>16</v>
      </c>
      <c r="AW23" t="s">
        <v>15</v>
      </c>
      <c r="AX23" t="s">
        <v>16</v>
      </c>
      <c r="AY23" t="s">
        <v>15</v>
      </c>
      <c r="AZ23" t="s">
        <v>16</v>
      </c>
      <c r="BA23" t="s">
        <v>15</v>
      </c>
      <c r="BB23" t="s">
        <v>16</v>
      </c>
      <c r="BC23" t="s">
        <v>15</v>
      </c>
      <c r="BD23" t="s">
        <v>16</v>
      </c>
      <c r="BE23" t="s">
        <v>15</v>
      </c>
      <c r="BF23" t="s">
        <v>16</v>
      </c>
      <c r="BG23" t="s">
        <v>15</v>
      </c>
      <c r="BH23" t="s">
        <v>16</v>
      </c>
      <c r="BI23" t="s">
        <v>15</v>
      </c>
      <c r="BJ23" t="s">
        <v>16</v>
      </c>
      <c r="BK23" t="s">
        <v>15</v>
      </c>
      <c r="BL23" t="s">
        <v>16</v>
      </c>
      <c r="BM23">
        <v>21051</v>
      </c>
      <c r="BN23">
        <v>310</v>
      </c>
      <c r="BO23">
        <v>20210622</v>
      </c>
      <c r="BP23">
        <v>22062021</v>
      </c>
      <c r="BQ23" t="s">
        <v>16</v>
      </c>
      <c r="BR23">
        <v>0</v>
      </c>
      <c r="BS23" t="s">
        <v>17</v>
      </c>
      <c r="BT23" t="s">
        <v>165</v>
      </c>
    </row>
    <row r="24" spans="1:73">
      <c r="A24" t="s">
        <v>3</v>
      </c>
      <c r="B24" t="str">
        <f>VLOOKUP(J24,[1]Sheet1!$C:$D,2,FALSE)&amp;K24</f>
        <v>61762011</v>
      </c>
      <c r="C24" t="str">
        <f t="shared" si="0"/>
        <v>C</v>
      </c>
      <c r="D24" s="1">
        <f t="shared" si="1"/>
        <v>35.972420000000007</v>
      </c>
      <c r="E24" t="str">
        <f t="shared" si="2"/>
        <v>MERCHANT PERTH DOMESTIC - 6176</v>
      </c>
      <c r="F24" t="str">
        <f t="shared" si="3"/>
        <v>UGGBOOTS</v>
      </c>
      <c r="J24" s="3">
        <f t="shared" si="4"/>
        <v>6176</v>
      </c>
      <c r="K24" s="3">
        <f t="shared" si="5"/>
        <v>2011</v>
      </c>
      <c r="L24" s="22">
        <f t="shared" si="6"/>
        <v>28.94</v>
      </c>
      <c r="M24" s="22">
        <f t="shared" si="7"/>
        <v>3.7622000000000004</v>
      </c>
      <c r="N24" s="3">
        <f t="shared" si="8"/>
        <v>0</v>
      </c>
      <c r="O24" s="22">
        <f t="shared" si="9"/>
        <v>32.702200000000005</v>
      </c>
      <c r="P24" s="22">
        <f t="shared" si="10"/>
        <v>3.2702200000000006</v>
      </c>
      <c r="Q24" s="3" t="str">
        <f t="shared" si="11"/>
        <v>UGGBOOTS</v>
      </c>
      <c r="R24" s="3" t="str">
        <f t="shared" si="12"/>
        <v>MERCHANT PERTH DOMESTIC - 6176</v>
      </c>
      <c r="T24" t="s">
        <v>22</v>
      </c>
      <c r="U24" t="s">
        <v>151</v>
      </c>
      <c r="V24" t="s">
        <v>37</v>
      </c>
      <c r="W24">
        <v>16062021</v>
      </c>
      <c r="X24" s="17" t="s">
        <v>166</v>
      </c>
      <c r="Y24" t="s">
        <v>163</v>
      </c>
      <c r="Z24" t="s">
        <v>154</v>
      </c>
      <c r="AA24" t="s">
        <v>13</v>
      </c>
      <c r="AB24">
        <v>1</v>
      </c>
      <c r="AC24">
        <v>8.8999999999999996E-2</v>
      </c>
      <c r="AD24">
        <v>18</v>
      </c>
      <c r="AE24" s="1">
        <v>28.94</v>
      </c>
      <c r="AF24" t="s">
        <v>155</v>
      </c>
      <c r="AG24" t="s">
        <v>156</v>
      </c>
      <c r="AH24" t="s">
        <v>157</v>
      </c>
      <c r="AI24" t="s">
        <v>158</v>
      </c>
      <c r="AJ24" t="s">
        <v>159</v>
      </c>
      <c r="AK24">
        <v>6104</v>
      </c>
      <c r="AL24">
        <v>6</v>
      </c>
      <c r="AM24">
        <v>894771111</v>
      </c>
      <c r="AN24">
        <v>16062021</v>
      </c>
      <c r="AO24" t="s">
        <v>35</v>
      </c>
      <c r="AP24" t="s">
        <v>34</v>
      </c>
      <c r="AQ24" t="s">
        <v>15</v>
      </c>
      <c r="AR24">
        <v>10107299</v>
      </c>
      <c r="AS24" t="s">
        <v>164</v>
      </c>
      <c r="AT24" t="s">
        <v>14</v>
      </c>
      <c r="AU24" t="s">
        <v>15</v>
      </c>
      <c r="AV24" t="s">
        <v>16</v>
      </c>
      <c r="AW24" t="s">
        <v>15</v>
      </c>
      <c r="AX24" t="s">
        <v>16</v>
      </c>
      <c r="AY24" t="s">
        <v>15</v>
      </c>
      <c r="AZ24" t="s">
        <v>16</v>
      </c>
      <c r="BA24" t="s">
        <v>15</v>
      </c>
      <c r="BB24" t="s">
        <v>16</v>
      </c>
      <c r="BC24" t="s">
        <v>15</v>
      </c>
      <c r="BD24" t="s">
        <v>16</v>
      </c>
      <c r="BE24" t="s">
        <v>15</v>
      </c>
      <c r="BF24" t="s">
        <v>16</v>
      </c>
      <c r="BG24" t="s">
        <v>15</v>
      </c>
      <c r="BH24" t="s">
        <v>16</v>
      </c>
      <c r="BI24" t="s">
        <v>15</v>
      </c>
      <c r="BJ24" t="s">
        <v>16</v>
      </c>
      <c r="BK24" t="s">
        <v>15</v>
      </c>
      <c r="BL24" t="s">
        <v>16</v>
      </c>
      <c r="BM24">
        <v>21051</v>
      </c>
      <c r="BN24">
        <v>8</v>
      </c>
      <c r="BO24">
        <v>20210622</v>
      </c>
      <c r="BP24">
        <v>22062021</v>
      </c>
      <c r="BQ24" t="s">
        <v>16</v>
      </c>
      <c r="BR24">
        <v>0</v>
      </c>
      <c r="BS24" t="s">
        <v>17</v>
      </c>
      <c r="BT24" t="s">
        <v>167</v>
      </c>
    </row>
    <row r="25" spans="1:73">
      <c r="A25" t="s">
        <v>3</v>
      </c>
      <c r="B25" t="str">
        <f>VLOOKUP(J25,[1]Sheet1!$C:$D,2,FALSE)&amp;K25</f>
        <v>21182011</v>
      </c>
      <c r="C25" t="str">
        <f t="shared" si="0"/>
        <v>C</v>
      </c>
      <c r="D25" s="1">
        <f t="shared" si="1"/>
        <v>44.188649999999996</v>
      </c>
      <c r="E25" t="str">
        <f t="shared" si="2"/>
        <v>2118 MERCHANT T2</v>
      </c>
      <c r="F25" t="str">
        <f t="shared" si="3"/>
        <v>UGGS</v>
      </c>
      <c r="J25" s="3">
        <f t="shared" si="4"/>
        <v>2118</v>
      </c>
      <c r="K25" s="3">
        <f t="shared" si="5"/>
        <v>2011</v>
      </c>
      <c r="L25" s="22">
        <f t="shared" si="6"/>
        <v>35.549999999999997</v>
      </c>
      <c r="M25" s="22">
        <f t="shared" si="7"/>
        <v>4.6215000000000002</v>
      </c>
      <c r="N25" s="3">
        <f t="shared" si="8"/>
        <v>0</v>
      </c>
      <c r="O25" s="22">
        <f t="shared" si="9"/>
        <v>40.171499999999995</v>
      </c>
      <c r="P25" s="22">
        <f t="shared" si="10"/>
        <v>4.01715</v>
      </c>
      <c r="Q25" s="3" t="str">
        <f t="shared" si="11"/>
        <v>UGGS</v>
      </c>
      <c r="R25" s="3" t="str">
        <f t="shared" si="12"/>
        <v>2118 MERCHANT T2</v>
      </c>
      <c r="T25" t="s">
        <v>22</v>
      </c>
      <c r="U25" t="s">
        <v>168</v>
      </c>
      <c r="V25" t="s">
        <v>37</v>
      </c>
      <c r="W25">
        <v>16062021</v>
      </c>
      <c r="X25" s="17" t="s">
        <v>169</v>
      </c>
      <c r="Y25" t="s">
        <v>54</v>
      </c>
      <c r="Z25" t="s">
        <v>170</v>
      </c>
      <c r="AA25" t="s">
        <v>13</v>
      </c>
      <c r="AB25">
        <v>3</v>
      </c>
      <c r="AC25">
        <v>0.28299999999999997</v>
      </c>
      <c r="AD25">
        <v>71</v>
      </c>
      <c r="AE25" s="1">
        <v>35.549999999999997</v>
      </c>
      <c r="AF25" t="s">
        <v>171</v>
      </c>
      <c r="AG25" t="s">
        <v>20</v>
      </c>
      <c r="AH25" t="s">
        <v>172</v>
      </c>
      <c r="AI25" t="s">
        <v>173</v>
      </c>
      <c r="AJ25" t="s">
        <v>174</v>
      </c>
      <c r="AK25">
        <v>2020</v>
      </c>
      <c r="AL25">
        <v>2</v>
      </c>
      <c r="AM25">
        <v>283391283</v>
      </c>
      <c r="AN25">
        <v>16062021</v>
      </c>
      <c r="AO25">
        <v>18062021</v>
      </c>
      <c r="AP25">
        <v>120443</v>
      </c>
      <c r="AQ25" t="s">
        <v>175</v>
      </c>
      <c r="AR25">
        <v>10107299</v>
      </c>
      <c r="AS25" t="s">
        <v>62</v>
      </c>
      <c r="AT25" t="s">
        <v>14</v>
      </c>
      <c r="AU25" t="s">
        <v>15</v>
      </c>
      <c r="AV25" t="s">
        <v>16</v>
      </c>
      <c r="AW25" t="s">
        <v>15</v>
      </c>
      <c r="AX25" t="s">
        <v>16</v>
      </c>
      <c r="AY25" t="s">
        <v>15</v>
      </c>
      <c r="AZ25" t="s">
        <v>16</v>
      </c>
      <c r="BA25" t="s">
        <v>15</v>
      </c>
      <c r="BB25" t="s">
        <v>16</v>
      </c>
      <c r="BC25" t="s">
        <v>15</v>
      </c>
      <c r="BD25" t="s">
        <v>16</v>
      </c>
      <c r="BE25" t="s">
        <v>15</v>
      </c>
      <c r="BF25" t="s">
        <v>16</v>
      </c>
      <c r="BG25" t="s">
        <v>15</v>
      </c>
      <c r="BH25" t="s">
        <v>16</v>
      </c>
      <c r="BI25" t="s">
        <v>15</v>
      </c>
      <c r="BJ25" t="s">
        <v>16</v>
      </c>
      <c r="BK25" t="s">
        <v>15</v>
      </c>
      <c r="BL25" t="s">
        <v>16</v>
      </c>
      <c r="BM25">
        <v>21051</v>
      </c>
      <c r="BN25">
        <v>21</v>
      </c>
      <c r="BO25">
        <v>20210622</v>
      </c>
      <c r="BP25">
        <v>17062021</v>
      </c>
      <c r="BQ25" t="s">
        <v>16</v>
      </c>
      <c r="BR25">
        <v>0</v>
      </c>
      <c r="BS25" t="s">
        <v>17</v>
      </c>
      <c r="BT25" t="s">
        <v>176</v>
      </c>
    </row>
    <row r="26" spans="1:73">
      <c r="A26" t="s">
        <v>3</v>
      </c>
      <c r="B26" t="str">
        <f>VLOOKUP(J26,[1]Sheet1!$C:$D,2,FALSE)&amp;K26</f>
        <v>21192011</v>
      </c>
      <c r="C26" t="str">
        <f t="shared" si="0"/>
        <v>C</v>
      </c>
      <c r="D26" s="1">
        <f t="shared" si="1"/>
        <v>33.386980000000001</v>
      </c>
      <c r="E26" t="str">
        <f t="shared" si="2"/>
        <v>2119 - MERCHANT SYD T3</v>
      </c>
      <c r="F26" t="str">
        <f t="shared" si="3"/>
        <v>UGGS</v>
      </c>
      <c r="J26" s="3">
        <f t="shared" si="4"/>
        <v>2119</v>
      </c>
      <c r="K26" s="3">
        <f t="shared" si="5"/>
        <v>2011</v>
      </c>
      <c r="L26" s="22">
        <f t="shared" si="6"/>
        <v>26.86</v>
      </c>
      <c r="M26" s="22">
        <f t="shared" si="7"/>
        <v>3.4918</v>
      </c>
      <c r="N26" s="3">
        <f t="shared" si="8"/>
        <v>0</v>
      </c>
      <c r="O26" s="22">
        <f t="shared" si="9"/>
        <v>30.351800000000001</v>
      </c>
      <c r="P26" s="22">
        <f t="shared" si="10"/>
        <v>3.0351800000000004</v>
      </c>
      <c r="Q26" s="3" t="str">
        <f t="shared" si="11"/>
        <v>UGGS</v>
      </c>
      <c r="R26" s="3" t="str">
        <f t="shared" si="12"/>
        <v>2119 - MERCHANT SYD T3</v>
      </c>
      <c r="T26" t="s">
        <v>22</v>
      </c>
      <c r="U26" t="s">
        <v>168</v>
      </c>
      <c r="V26" t="s">
        <v>37</v>
      </c>
      <c r="W26">
        <v>16062021</v>
      </c>
      <c r="X26" s="17" t="s">
        <v>177</v>
      </c>
      <c r="Y26" t="s">
        <v>54</v>
      </c>
      <c r="Z26" t="s">
        <v>178</v>
      </c>
      <c r="AA26" t="s">
        <v>13</v>
      </c>
      <c r="AB26">
        <v>3</v>
      </c>
      <c r="AC26">
        <v>0.188</v>
      </c>
      <c r="AD26">
        <v>47</v>
      </c>
      <c r="AE26" s="1">
        <v>26.86</v>
      </c>
      <c r="AF26" t="s">
        <v>179</v>
      </c>
      <c r="AG26" t="s">
        <v>180</v>
      </c>
      <c r="AH26" t="s">
        <v>181</v>
      </c>
      <c r="AI26" t="s">
        <v>182</v>
      </c>
      <c r="AJ26" t="s">
        <v>174</v>
      </c>
      <c r="AK26">
        <v>2020</v>
      </c>
      <c r="AL26">
        <v>2</v>
      </c>
      <c r="AM26">
        <v>293135877</v>
      </c>
      <c r="AN26">
        <v>16062021</v>
      </c>
      <c r="AO26">
        <v>18062021</v>
      </c>
      <c r="AP26">
        <v>110645</v>
      </c>
      <c r="AQ26" t="s">
        <v>183</v>
      </c>
      <c r="AR26">
        <v>10107299</v>
      </c>
      <c r="AS26" t="s">
        <v>62</v>
      </c>
      <c r="AT26" t="s">
        <v>14</v>
      </c>
      <c r="AU26" t="s">
        <v>15</v>
      </c>
      <c r="AV26" t="s">
        <v>16</v>
      </c>
      <c r="AW26" t="s">
        <v>15</v>
      </c>
      <c r="AX26" t="s">
        <v>16</v>
      </c>
      <c r="AY26" t="s">
        <v>15</v>
      </c>
      <c r="AZ26" t="s">
        <v>16</v>
      </c>
      <c r="BA26" t="s">
        <v>15</v>
      </c>
      <c r="BB26" t="s">
        <v>16</v>
      </c>
      <c r="BC26" t="s">
        <v>15</v>
      </c>
      <c r="BD26" t="s">
        <v>16</v>
      </c>
      <c r="BE26" t="s">
        <v>15</v>
      </c>
      <c r="BF26" t="s">
        <v>16</v>
      </c>
      <c r="BG26" t="s">
        <v>15</v>
      </c>
      <c r="BH26" t="s">
        <v>16</v>
      </c>
      <c r="BI26" t="s">
        <v>15</v>
      </c>
      <c r="BJ26" t="s">
        <v>16</v>
      </c>
      <c r="BK26" t="s">
        <v>15</v>
      </c>
      <c r="BL26" t="s">
        <v>16</v>
      </c>
      <c r="BM26">
        <v>21051</v>
      </c>
      <c r="BN26">
        <v>13</v>
      </c>
      <c r="BO26">
        <v>20210622</v>
      </c>
      <c r="BP26">
        <v>17062021</v>
      </c>
      <c r="BQ26" t="s">
        <v>16</v>
      </c>
      <c r="BR26">
        <v>0</v>
      </c>
      <c r="BS26" t="s">
        <v>17</v>
      </c>
      <c r="BT26" t="s">
        <v>184</v>
      </c>
      <c r="BU26" t="s">
        <v>43</v>
      </c>
    </row>
    <row r="27" spans="1:73">
      <c r="A27" t="s">
        <v>3</v>
      </c>
      <c r="B27" t="str">
        <f>VLOOKUP(J27,[1]Sheet1!$C:$D,2,FALSE)&amp;K27</f>
        <v>21182011</v>
      </c>
      <c r="C27" t="str">
        <f t="shared" si="0"/>
        <v>C</v>
      </c>
      <c r="D27" s="1">
        <f t="shared" si="1"/>
        <v>41.03143</v>
      </c>
      <c r="E27" t="str">
        <f t="shared" si="2"/>
        <v>2118 MERCHANT T2</v>
      </c>
      <c r="F27" t="str">
        <f t="shared" si="3"/>
        <v>UGGS</v>
      </c>
      <c r="J27" s="3">
        <f t="shared" si="4"/>
        <v>2118</v>
      </c>
      <c r="K27" s="3">
        <f t="shared" si="5"/>
        <v>2011</v>
      </c>
      <c r="L27" s="22">
        <f t="shared" si="6"/>
        <v>33.01</v>
      </c>
      <c r="M27" s="22">
        <f t="shared" si="7"/>
        <v>4.2912999999999997</v>
      </c>
      <c r="N27" s="3">
        <f t="shared" si="8"/>
        <v>0</v>
      </c>
      <c r="O27" s="22">
        <f t="shared" si="9"/>
        <v>37.301299999999998</v>
      </c>
      <c r="P27" s="22">
        <f t="shared" si="10"/>
        <v>3.7301299999999999</v>
      </c>
      <c r="Q27" s="3" t="str">
        <f t="shared" si="11"/>
        <v>UGGS</v>
      </c>
      <c r="R27" s="3" t="str">
        <f t="shared" si="12"/>
        <v>2118 MERCHANT T2</v>
      </c>
      <c r="T27" t="s">
        <v>22</v>
      </c>
      <c r="U27" t="s">
        <v>168</v>
      </c>
      <c r="V27" t="s">
        <v>37</v>
      </c>
      <c r="W27">
        <v>16062021</v>
      </c>
      <c r="X27" s="17" t="s">
        <v>185</v>
      </c>
      <c r="Y27" t="s">
        <v>54</v>
      </c>
      <c r="Z27" t="s">
        <v>170</v>
      </c>
      <c r="AA27" t="s">
        <v>13</v>
      </c>
      <c r="AB27">
        <v>3</v>
      </c>
      <c r="AC27">
        <v>0.253</v>
      </c>
      <c r="AD27">
        <v>64</v>
      </c>
      <c r="AE27" s="1">
        <v>33.01</v>
      </c>
      <c r="AF27" t="s">
        <v>171</v>
      </c>
      <c r="AG27" t="s">
        <v>20</v>
      </c>
      <c r="AH27" t="s">
        <v>172</v>
      </c>
      <c r="AI27" t="s">
        <v>173</v>
      </c>
      <c r="AJ27" t="s">
        <v>174</v>
      </c>
      <c r="AK27">
        <v>2020</v>
      </c>
      <c r="AL27">
        <v>2</v>
      </c>
      <c r="AM27">
        <v>283391283</v>
      </c>
      <c r="AN27">
        <v>16062021</v>
      </c>
      <c r="AO27">
        <v>18062021</v>
      </c>
      <c r="AP27">
        <v>120443</v>
      </c>
      <c r="AQ27" t="s">
        <v>175</v>
      </c>
      <c r="AR27">
        <v>10107299</v>
      </c>
      <c r="AS27" t="s">
        <v>62</v>
      </c>
      <c r="AT27" t="s">
        <v>14</v>
      </c>
      <c r="AU27" t="s">
        <v>15</v>
      </c>
      <c r="AV27" t="s">
        <v>16</v>
      </c>
      <c r="AW27" t="s">
        <v>15</v>
      </c>
      <c r="AX27" t="s">
        <v>16</v>
      </c>
      <c r="AY27" t="s">
        <v>15</v>
      </c>
      <c r="AZ27" t="s">
        <v>16</v>
      </c>
      <c r="BA27" t="s">
        <v>15</v>
      </c>
      <c r="BB27" t="s">
        <v>16</v>
      </c>
      <c r="BC27" t="s">
        <v>15</v>
      </c>
      <c r="BD27" t="s">
        <v>16</v>
      </c>
      <c r="BE27" t="s">
        <v>15</v>
      </c>
      <c r="BF27" t="s">
        <v>16</v>
      </c>
      <c r="BG27" t="s">
        <v>15</v>
      </c>
      <c r="BH27" t="s">
        <v>16</v>
      </c>
      <c r="BI27" t="s">
        <v>15</v>
      </c>
      <c r="BJ27" t="s">
        <v>16</v>
      </c>
      <c r="BK27" t="s">
        <v>15</v>
      </c>
      <c r="BL27" t="s">
        <v>16</v>
      </c>
      <c r="BM27">
        <v>21051</v>
      </c>
      <c r="BN27">
        <v>19</v>
      </c>
      <c r="BO27">
        <v>20210622</v>
      </c>
      <c r="BP27">
        <v>17062021</v>
      </c>
      <c r="BQ27" t="s">
        <v>16</v>
      </c>
      <c r="BR27">
        <v>0</v>
      </c>
      <c r="BS27" t="s">
        <v>17</v>
      </c>
      <c r="BT27" t="s">
        <v>186</v>
      </c>
    </row>
    <row r="28" spans="1:73">
      <c r="A28" t="s">
        <v>3</v>
      </c>
      <c r="B28" t="str">
        <f>VLOOKUP(J28,[1]Sheet1!$C:$D,2,FALSE)&amp;K28</f>
        <v>21182011</v>
      </c>
      <c r="C28" t="str">
        <f t="shared" si="0"/>
        <v>C</v>
      </c>
      <c r="D28" s="1">
        <f t="shared" si="1"/>
        <v>35.189329999999998</v>
      </c>
      <c r="E28" t="str">
        <f t="shared" si="2"/>
        <v>2118 MERCHANT T2</v>
      </c>
      <c r="F28" t="str">
        <f t="shared" si="3"/>
        <v>UGGS</v>
      </c>
      <c r="J28" s="3">
        <f t="shared" si="4"/>
        <v>2118</v>
      </c>
      <c r="K28" s="3">
        <f t="shared" si="5"/>
        <v>2011</v>
      </c>
      <c r="L28" s="22">
        <f t="shared" si="6"/>
        <v>28.31</v>
      </c>
      <c r="M28" s="22">
        <f t="shared" si="7"/>
        <v>3.6802999999999999</v>
      </c>
      <c r="N28" s="3">
        <f t="shared" si="8"/>
        <v>0</v>
      </c>
      <c r="O28" s="22">
        <f t="shared" si="9"/>
        <v>31.990299999999998</v>
      </c>
      <c r="P28" s="22">
        <f t="shared" si="10"/>
        <v>3.19903</v>
      </c>
      <c r="Q28" s="3" t="str">
        <f t="shared" si="11"/>
        <v>UGGS</v>
      </c>
      <c r="R28" s="3" t="str">
        <f t="shared" si="12"/>
        <v>2118 MERCHANT T2</v>
      </c>
      <c r="T28" t="s">
        <v>22</v>
      </c>
      <c r="U28" t="s">
        <v>168</v>
      </c>
      <c r="V28" t="s">
        <v>37</v>
      </c>
      <c r="W28">
        <v>18062021</v>
      </c>
      <c r="X28" s="17" t="s">
        <v>187</v>
      </c>
      <c r="Y28" t="s">
        <v>54</v>
      </c>
      <c r="Z28" t="s">
        <v>170</v>
      </c>
      <c r="AA28" t="s">
        <v>13</v>
      </c>
      <c r="AB28">
        <v>2</v>
      </c>
      <c r="AC28">
        <v>0.20300000000000001</v>
      </c>
      <c r="AD28">
        <v>51</v>
      </c>
      <c r="AE28" s="1">
        <v>28.31</v>
      </c>
      <c r="AF28" t="s">
        <v>171</v>
      </c>
      <c r="AG28" t="s">
        <v>20</v>
      </c>
      <c r="AH28" t="s">
        <v>172</v>
      </c>
      <c r="AI28" t="s">
        <v>173</v>
      </c>
      <c r="AJ28" t="s">
        <v>174</v>
      </c>
      <c r="AK28">
        <v>2020</v>
      </c>
      <c r="AL28">
        <v>2</v>
      </c>
      <c r="AM28">
        <v>283391283</v>
      </c>
      <c r="AN28">
        <v>18062021</v>
      </c>
      <c r="AO28">
        <v>22062021</v>
      </c>
      <c r="AP28">
        <v>114400</v>
      </c>
      <c r="AQ28" t="s">
        <v>188</v>
      </c>
      <c r="AR28">
        <v>10107299</v>
      </c>
      <c r="AS28" t="s">
        <v>62</v>
      </c>
      <c r="AT28" t="s">
        <v>14</v>
      </c>
      <c r="AU28" t="s">
        <v>15</v>
      </c>
      <c r="AV28" t="s">
        <v>16</v>
      </c>
      <c r="AW28" t="s">
        <v>15</v>
      </c>
      <c r="AX28" t="s">
        <v>16</v>
      </c>
      <c r="AY28" t="s">
        <v>15</v>
      </c>
      <c r="AZ28" t="s">
        <v>16</v>
      </c>
      <c r="BA28" t="s">
        <v>15</v>
      </c>
      <c r="BB28" t="s">
        <v>16</v>
      </c>
      <c r="BC28" t="s">
        <v>15</v>
      </c>
      <c r="BD28" t="s">
        <v>16</v>
      </c>
      <c r="BE28" t="s">
        <v>15</v>
      </c>
      <c r="BF28" t="s">
        <v>16</v>
      </c>
      <c r="BG28" t="s">
        <v>15</v>
      </c>
      <c r="BH28" t="s">
        <v>16</v>
      </c>
      <c r="BI28" t="s">
        <v>15</v>
      </c>
      <c r="BJ28" t="s">
        <v>16</v>
      </c>
      <c r="BK28" t="s">
        <v>15</v>
      </c>
      <c r="BL28" t="s">
        <v>16</v>
      </c>
      <c r="BM28">
        <v>21051</v>
      </c>
      <c r="BN28">
        <v>16</v>
      </c>
      <c r="BO28">
        <v>20210622</v>
      </c>
      <c r="BP28">
        <v>21062021</v>
      </c>
      <c r="BQ28" t="s">
        <v>16</v>
      </c>
      <c r="BR28">
        <v>0</v>
      </c>
      <c r="BS28" t="s">
        <v>17</v>
      </c>
      <c r="BT28" t="s">
        <v>189</v>
      </c>
    </row>
    <row r="29" spans="1:73">
      <c r="A29" t="s">
        <v>3</v>
      </c>
      <c r="B29" t="str">
        <f>VLOOKUP(J29,[1]Sheet1!$C:$D,2,FALSE)&amp;K29</f>
        <v>21182011</v>
      </c>
      <c r="C29" t="str">
        <f t="shared" si="0"/>
        <v>C</v>
      </c>
      <c r="D29" s="1">
        <f t="shared" si="1"/>
        <v>28.439839999999997</v>
      </c>
      <c r="E29" t="str">
        <f t="shared" si="2"/>
        <v>2118 MERCHANT T2</v>
      </c>
      <c r="F29" t="str">
        <f t="shared" si="3"/>
        <v>UGGS</v>
      </c>
      <c r="J29" s="3">
        <f t="shared" si="4"/>
        <v>2118</v>
      </c>
      <c r="K29" s="3">
        <f t="shared" si="5"/>
        <v>2011</v>
      </c>
      <c r="L29" s="22">
        <f t="shared" si="6"/>
        <v>22.88</v>
      </c>
      <c r="M29" s="22">
        <f t="shared" si="7"/>
        <v>2.9744000000000002</v>
      </c>
      <c r="N29" s="3">
        <f t="shared" si="8"/>
        <v>0</v>
      </c>
      <c r="O29" s="22">
        <f t="shared" si="9"/>
        <v>25.854399999999998</v>
      </c>
      <c r="P29" s="22">
        <f t="shared" si="10"/>
        <v>2.5854400000000002</v>
      </c>
      <c r="Q29" s="3" t="str">
        <f t="shared" si="11"/>
        <v>UGGS</v>
      </c>
      <c r="R29" s="3" t="str">
        <f t="shared" si="12"/>
        <v>2118 MERCHANT T2</v>
      </c>
      <c r="T29" t="s">
        <v>22</v>
      </c>
      <c r="U29" t="s">
        <v>168</v>
      </c>
      <c r="V29" t="s">
        <v>37</v>
      </c>
      <c r="W29">
        <v>21062021</v>
      </c>
      <c r="X29" s="17" t="s">
        <v>190</v>
      </c>
      <c r="Y29" t="s">
        <v>54</v>
      </c>
      <c r="Z29" t="s">
        <v>170</v>
      </c>
      <c r="AA29" t="s">
        <v>13</v>
      </c>
      <c r="AB29">
        <v>2</v>
      </c>
      <c r="AC29">
        <v>0.14399999999999999</v>
      </c>
      <c r="AD29">
        <v>36</v>
      </c>
      <c r="AE29" s="1">
        <v>22.88</v>
      </c>
      <c r="AF29" t="s">
        <v>171</v>
      </c>
      <c r="AG29" t="s">
        <v>20</v>
      </c>
      <c r="AH29" t="s">
        <v>172</v>
      </c>
      <c r="AI29" t="s">
        <v>173</v>
      </c>
      <c r="AJ29" t="s">
        <v>174</v>
      </c>
      <c r="AK29">
        <v>2020</v>
      </c>
      <c r="AL29">
        <v>2</v>
      </c>
      <c r="AM29">
        <v>283391283</v>
      </c>
      <c r="AN29">
        <v>21062021</v>
      </c>
      <c r="AO29">
        <v>23062021</v>
      </c>
      <c r="AP29">
        <v>102140</v>
      </c>
      <c r="AQ29" t="s">
        <v>191</v>
      </c>
      <c r="AR29">
        <v>10107299</v>
      </c>
      <c r="AS29" t="s">
        <v>62</v>
      </c>
      <c r="AT29" t="s">
        <v>14</v>
      </c>
      <c r="AU29" t="s">
        <v>15</v>
      </c>
      <c r="AV29" t="s">
        <v>16</v>
      </c>
      <c r="AW29" t="s">
        <v>15</v>
      </c>
      <c r="AX29" t="s">
        <v>16</v>
      </c>
      <c r="AY29" t="s">
        <v>15</v>
      </c>
      <c r="AZ29" t="s">
        <v>16</v>
      </c>
      <c r="BA29" t="s">
        <v>15</v>
      </c>
      <c r="BB29" t="s">
        <v>16</v>
      </c>
      <c r="BC29" t="s">
        <v>15</v>
      </c>
      <c r="BD29" t="s">
        <v>16</v>
      </c>
      <c r="BE29" t="s">
        <v>15</v>
      </c>
      <c r="BF29" t="s">
        <v>16</v>
      </c>
      <c r="BG29" t="s">
        <v>15</v>
      </c>
      <c r="BH29" t="s">
        <v>16</v>
      </c>
      <c r="BI29" t="s">
        <v>15</v>
      </c>
      <c r="BJ29" t="s">
        <v>16</v>
      </c>
      <c r="BK29" t="s">
        <v>15</v>
      </c>
      <c r="BL29" t="s">
        <v>16</v>
      </c>
      <c r="BM29">
        <v>21051</v>
      </c>
      <c r="BN29">
        <v>10</v>
      </c>
      <c r="BO29">
        <v>20210622</v>
      </c>
      <c r="BP29">
        <v>22062021</v>
      </c>
      <c r="BQ29" t="s">
        <v>16</v>
      </c>
      <c r="BR29">
        <v>0</v>
      </c>
      <c r="BS29" t="s">
        <v>17</v>
      </c>
      <c r="BT29" t="s">
        <v>192</v>
      </c>
    </row>
    <row r="30" spans="1:73">
      <c r="A30" t="s">
        <v>3</v>
      </c>
      <c r="B30" t="str">
        <f>VLOOKUP(J30,[1]Sheet1!$C:$D,2,FALSE)&amp;K30</f>
        <v>81882011</v>
      </c>
      <c r="C30" t="str">
        <f t="shared" si="0"/>
        <v>C</v>
      </c>
      <c r="D30" s="1">
        <f t="shared" si="1"/>
        <v>56.704999999999998</v>
      </c>
      <c r="E30" t="str">
        <f t="shared" si="2"/>
        <v>MISC</v>
      </c>
      <c r="F30" t="str">
        <f t="shared" si="3"/>
        <v>MISC</v>
      </c>
      <c r="J30" s="3">
        <v>8188</v>
      </c>
      <c r="K30" s="3">
        <f t="shared" si="5"/>
        <v>2011</v>
      </c>
      <c r="L30" s="22">
        <v>51.55</v>
      </c>
      <c r="O30" s="22">
        <f t="shared" si="9"/>
        <v>51.55</v>
      </c>
      <c r="P30" s="22">
        <f t="shared" si="10"/>
        <v>5.1550000000000002</v>
      </c>
      <c r="Q30" s="3" t="s">
        <v>18</v>
      </c>
      <c r="R30" s="3" t="s">
        <v>18</v>
      </c>
    </row>
    <row r="31" spans="1:73">
      <c r="A31" t="s">
        <v>3</v>
      </c>
      <c r="B31" t="str">
        <f>VLOOKUP(J31,[1]Sheet1!$C:$D,2,FALSE)&amp;K31</f>
        <v>81882011</v>
      </c>
      <c r="C31" t="str">
        <f t="shared" si="0"/>
        <v>NA</v>
      </c>
      <c r="D31" s="1">
        <f t="shared" si="1"/>
        <v>12.77</v>
      </c>
      <c r="E31" t="str">
        <f t="shared" si="2"/>
        <v>MISC</v>
      </c>
      <c r="F31" t="str">
        <f t="shared" si="3"/>
        <v>MISC</v>
      </c>
      <c r="J31" s="3">
        <v>8188</v>
      </c>
      <c r="K31" s="3">
        <f t="shared" si="5"/>
        <v>2011</v>
      </c>
      <c r="L31" s="22">
        <v>12.77</v>
      </c>
      <c r="O31" s="22">
        <f t="shared" si="9"/>
        <v>12.77</v>
      </c>
      <c r="Q31" s="3" t="s">
        <v>18</v>
      </c>
      <c r="R31" s="3" t="s">
        <v>18</v>
      </c>
    </row>
    <row r="39" spans="4:5">
      <c r="D39" s="1">
        <f>SUM(D5:D31)</f>
        <v>3204.4204400000008</v>
      </c>
      <c r="E39" s="23">
        <f>SUM(P7:P31)</f>
        <v>290.15004000000005</v>
      </c>
    </row>
    <row r="40" spans="4:5">
      <c r="D40" s="18">
        <v>3204.42</v>
      </c>
      <c r="E40" s="19">
        <v>290.14999999999998</v>
      </c>
    </row>
  </sheetData>
  <autoFilter ref="A6:BU10" xr:uid="{DBB25B70-ACCF-466E-A5BC-539BDFB1B250}"/>
  <pageMargins left="0.70866141732283505" right="0.70866141732283505" top="0.74803149606299202" bottom="0.74803149606299202" header="0.31496062992126" footer="0.31496062992126"/>
  <pageSetup paperSize="9" scale="6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tarTrackInvoice">
                <anchor>
                  <from>
                    <xdr:col>22</xdr:col>
                    <xdr:colOff>457200</xdr:colOff>
                    <xdr:row>0</xdr:row>
                    <xdr:rowOff>123825</xdr:rowOff>
                  </from>
                  <to>
                    <xdr:col>24</xdr:col>
                    <xdr:colOff>428625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19BAA-DD66-4DFD-8B02-098E0A78BB5F}">
  <sheetPr codeName="Sheet2"/>
  <dimension ref="A1:I16"/>
  <sheetViews>
    <sheetView workbookViewId="0">
      <selection activeCell="H13" sqref="H13"/>
    </sheetView>
  </sheetViews>
  <sheetFormatPr defaultRowHeight="15"/>
  <cols>
    <col min="4" max="4" width="9.140625" style="23"/>
    <col min="6" max="6" width="10.28515625" style="23" bestFit="1" customWidth="1"/>
    <col min="7" max="7" width="26" bestFit="1" customWidth="1"/>
    <col min="8" max="9" width="15" bestFit="1" customWidth="1"/>
  </cols>
  <sheetData>
    <row r="1" spans="1:9">
      <c r="A1" s="32" t="s">
        <v>23</v>
      </c>
      <c r="B1" s="32" t="s">
        <v>25</v>
      </c>
      <c r="C1" s="32" t="s">
        <v>26</v>
      </c>
      <c r="D1" s="33" t="s">
        <v>27</v>
      </c>
      <c r="E1" s="32" t="s">
        <v>28</v>
      </c>
      <c r="F1" s="33" t="s">
        <v>29</v>
      </c>
      <c r="G1" s="32" t="s">
        <v>30</v>
      </c>
      <c r="H1" s="32" t="s">
        <v>31</v>
      </c>
      <c r="I1" s="32" t="s">
        <v>32</v>
      </c>
    </row>
    <row r="2" spans="1:9">
      <c r="A2" s="28" t="s">
        <v>24</v>
      </c>
      <c r="B2" s="17">
        <v>99902011</v>
      </c>
      <c r="C2" s="17">
        <v>1</v>
      </c>
      <c r="D2" s="29">
        <f t="shared" ref="D2:D5" si="0">F2</f>
        <v>11.23672</v>
      </c>
      <c r="E2" s="28" t="s">
        <v>33</v>
      </c>
      <c r="F2" s="23">
        <v>11.23672</v>
      </c>
      <c r="G2" t="s">
        <v>194</v>
      </c>
      <c r="H2" t="s">
        <v>195</v>
      </c>
      <c r="I2" t="s">
        <v>193</v>
      </c>
    </row>
    <row r="3" spans="1:9">
      <c r="A3" s="28" t="s">
        <v>24</v>
      </c>
      <c r="B3" s="17">
        <v>99902011</v>
      </c>
      <c r="C3" s="17">
        <v>1</v>
      </c>
      <c r="D3" s="29">
        <f t="shared" si="0"/>
        <v>11.23672</v>
      </c>
      <c r="E3" s="28" t="s">
        <v>33</v>
      </c>
      <c r="F3" s="23">
        <v>11.23672</v>
      </c>
      <c r="G3" t="s">
        <v>196</v>
      </c>
      <c r="H3" t="s">
        <v>195</v>
      </c>
      <c r="I3" t="s">
        <v>193</v>
      </c>
    </row>
    <row r="4" spans="1:9">
      <c r="A4" s="28" t="s">
        <v>24</v>
      </c>
      <c r="B4" s="17">
        <v>99902011</v>
      </c>
      <c r="C4" s="17">
        <v>1</v>
      </c>
      <c r="D4" s="29">
        <f t="shared" si="0"/>
        <v>11.23672</v>
      </c>
      <c r="E4" s="28" t="s">
        <v>33</v>
      </c>
      <c r="F4" s="23">
        <v>11.23672</v>
      </c>
      <c r="G4" s="19" t="s">
        <v>197</v>
      </c>
      <c r="H4" t="s">
        <v>195</v>
      </c>
      <c r="I4" t="s">
        <v>193</v>
      </c>
    </row>
    <row r="5" spans="1:9">
      <c r="A5" s="28" t="s">
        <v>24</v>
      </c>
      <c r="B5" s="17">
        <v>99902011</v>
      </c>
      <c r="C5" s="17">
        <v>1</v>
      </c>
      <c r="D5" s="29">
        <f t="shared" si="0"/>
        <v>11.23672</v>
      </c>
      <c r="E5" s="28" t="s">
        <v>33</v>
      </c>
      <c r="F5" s="31">
        <v>11.23672</v>
      </c>
      <c r="G5" t="s">
        <v>198</v>
      </c>
      <c r="H5" s="26" t="s">
        <v>195</v>
      </c>
      <c r="I5" t="s">
        <v>193</v>
      </c>
    </row>
    <row r="6" spans="1:9">
      <c r="A6" s="25"/>
      <c r="E6" s="25"/>
      <c r="F6" s="30">
        <f>SUM(F$2:F5)</f>
        <v>44.94688</v>
      </c>
    </row>
    <row r="7" spans="1:9">
      <c r="A7" s="25"/>
      <c r="E7" s="25"/>
    </row>
    <row r="8" spans="1:9">
      <c r="A8" s="25"/>
      <c r="E8" s="25"/>
      <c r="G8" s="19"/>
    </row>
    <row r="9" spans="1:9">
      <c r="A9" s="25"/>
      <c r="E9" s="25"/>
    </row>
    <row r="10" spans="1:9">
      <c r="A10" s="25"/>
      <c r="E10" s="25"/>
    </row>
    <row r="11" spans="1:9">
      <c r="A11" s="25"/>
      <c r="E11" s="25"/>
    </row>
    <row r="12" spans="1:9">
      <c r="A12" s="25"/>
      <c r="E12" s="1"/>
      <c r="F12" s="1"/>
    </row>
    <row r="13" spans="1:9">
      <c r="A13" s="25"/>
      <c r="E13" s="1"/>
      <c r="F13" s="1"/>
    </row>
    <row r="14" spans="1:9">
      <c r="A14" s="25"/>
      <c r="E14" s="1"/>
      <c r="F14" s="1"/>
    </row>
    <row r="15" spans="1:9">
      <c r="A15" s="25"/>
      <c r="E15" s="27"/>
      <c r="F15" s="27"/>
      <c r="G15" s="19"/>
    </row>
    <row r="16" spans="1:9">
      <c r="A16" s="25"/>
      <c r="E16" s="2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SMC_Invoicing">
                <anchor>
                  <from>
                    <xdr:col>9</xdr:col>
                    <xdr:colOff>542925</xdr:colOff>
                    <xdr:row>1</xdr:row>
                    <xdr:rowOff>28575</xdr:rowOff>
                  </from>
                  <to>
                    <xdr:col>12</xdr:col>
                    <xdr:colOff>228600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AB53F6F-49D1-4B2F-9FDC-A28E654B5D0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Star Track</vt:lpstr>
      <vt:lpstr>JSMC on-cost</vt:lpstr>
      <vt:lpstr>'Star Track'!Print_Area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Esther Joseph</dc:creator>
  <cp:lastModifiedBy>M</cp:lastModifiedBy>
  <cp:lastPrinted>2020-03-04T04:06:00Z</cp:lastPrinted>
  <dcterms:created xsi:type="dcterms:W3CDTF">2019-08-28T00:24:00Z</dcterms:created>
  <dcterms:modified xsi:type="dcterms:W3CDTF">2021-06-23T23:11:33Z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1033-11.2.0.9665</vt:lpwstr>
  </property>
</Properties>
</file>