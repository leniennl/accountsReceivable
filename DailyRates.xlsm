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Finance Team\Foreign Currency\"/>
    </mc:Choice>
  </mc:AlternateContent>
  <xr:revisionPtr revIDLastSave="0" documentId="13_ncr:1_{3EDB254C-26C2-492C-98E4-618ACA9D736A}" xr6:coauthVersionLast="47" xr6:coauthVersionMax="47" xr10:uidLastSave="{00000000-0000-0000-0000-000000000000}"/>
  <bookViews>
    <workbookView xWindow="22932" yWindow="-108" windowWidth="23256" windowHeight="12576" activeTab="4" xr2:uid="{00000000-000D-0000-FFFF-FFFF00000000}"/>
  </bookViews>
  <sheets>
    <sheet name="AU" sheetId="1" r:id="rId1"/>
    <sheet name="AU Paste" sheetId="2" r:id="rId2"/>
    <sheet name="NZ" sheetId="3" r:id="rId3"/>
    <sheet name="Table 1" sheetId="8" r:id="rId4"/>
    <sheet name="NZ PASTE" sheetId="4" r:id="rId5"/>
    <sheet name="Sheet1" sheetId="7" state="hidden" r:id="rId6"/>
  </sheets>
  <definedNames>
    <definedName name="_xlnm._FilterDatabase" localSheetId="5" hidden="1">Sheet1!$A$1:$P$10</definedName>
    <definedName name="ExternalData_1" localSheetId="3" hidden="1">'Table 1'!$A$1:$D$31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" l="1"/>
  <c r="D9" i="1"/>
  <c r="D10" i="1"/>
  <c r="D11" i="1"/>
  <c r="D12" i="1"/>
  <c r="D13" i="1"/>
  <c r="D14" i="1"/>
  <c r="D15" i="1"/>
  <c r="D7" i="1"/>
  <c r="P31" i="7"/>
  <c r="A15" i="1" s="1"/>
  <c r="P30" i="7"/>
  <c r="A14" i="1" s="1"/>
  <c r="P29" i="7"/>
  <c r="A13" i="1" s="1"/>
  <c r="P28" i="7"/>
  <c r="A11" i="1" s="1"/>
  <c r="P27" i="7"/>
  <c r="A10" i="1" s="1"/>
  <c r="P26" i="7"/>
  <c r="A9" i="1" s="1"/>
  <c r="P25" i="7"/>
  <c r="A8" i="1" s="1"/>
  <c r="P24" i="7"/>
  <c r="A7" i="1" s="1"/>
  <c r="P23" i="7"/>
  <c r="A12" i="1" s="1"/>
  <c r="P22" i="7"/>
  <c r="P21" i="7"/>
  <c r="P20" i="7"/>
  <c r="P19" i="7"/>
  <c r="P18" i="7"/>
  <c r="P2" i="7"/>
  <c r="A12" i="3" s="1"/>
  <c r="P3" i="7"/>
  <c r="A7" i="3" s="1"/>
  <c r="P4" i="7"/>
  <c r="A8" i="3" s="1"/>
  <c r="P5" i="7"/>
  <c r="A9" i="3" s="1"/>
  <c r="P6" i="7"/>
  <c r="A10" i="3" s="1"/>
  <c r="P7" i="7"/>
  <c r="A11" i="3" s="1"/>
  <c r="P8" i="7"/>
  <c r="A13" i="3" s="1"/>
  <c r="P9" i="7"/>
  <c r="A14" i="3" s="1"/>
  <c r="P10" i="7"/>
  <c r="A15" i="3" s="1"/>
  <c r="E8" i="1" l="1"/>
  <c r="E11" i="1" l="1"/>
  <c r="A2" i="4" l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E7" i="1"/>
  <c r="B5" i="1"/>
  <c r="E12" i="1"/>
  <c r="E15" i="1"/>
  <c r="E13" i="1"/>
  <c r="E14" i="1"/>
  <c r="C4" i="3"/>
  <c r="E10" i="1"/>
  <c r="E9" i="1"/>
  <c r="D8" i="3" l="1"/>
  <c r="D9" i="3"/>
  <c r="E9" i="3" s="1"/>
  <c r="D13" i="3"/>
  <c r="E13" i="3" s="1"/>
  <c r="D10" i="3"/>
  <c r="E10" i="3" s="1"/>
  <c r="D14" i="3"/>
  <c r="E14" i="3" s="1"/>
  <c r="D7" i="3"/>
  <c r="E7" i="3" s="1"/>
  <c r="D11" i="3"/>
  <c r="E11" i="3" s="1"/>
  <c r="D15" i="3"/>
  <c r="E15" i="3" s="1"/>
  <c r="D12" i="3"/>
  <c r="E12" i="3" s="1"/>
  <c r="E8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66639A-250C-4F2D-8D95-54AC8FBF4F4C}" keepAlive="1" name="Query - Table 1" description="Connection to the 'Table 1' query in the workbook." type="5" refreshedVersion="7" background="1" saveData="1">
    <dbPr connection="Provider=Microsoft.Mashup.OleDb.1;Data Source=$Workbook$;Location=&quot;Table 1&quot;;Extended Properties=&quot;&quot;" command="SELECT * FROM [Table 1]"/>
  </connection>
</connections>
</file>

<file path=xl/sharedStrings.xml><?xml version="1.0" encoding="utf-8"?>
<sst xmlns="http://schemas.openxmlformats.org/spreadsheetml/2006/main" count="488" uniqueCount="264">
  <si>
    <t>CAD</t>
  </si>
  <si>
    <t>Canadian Dollar</t>
  </si>
  <si>
    <t>Code</t>
  </si>
  <si>
    <t>Currency Name</t>
  </si>
  <si>
    <t>EUR</t>
  </si>
  <si>
    <t>European Euro</t>
  </si>
  <si>
    <t>HKD</t>
  </si>
  <si>
    <t>JPY</t>
  </si>
  <si>
    <t>Japanese Yen</t>
  </si>
  <si>
    <t>NZD</t>
  </si>
  <si>
    <t>New Zealand Dollar</t>
  </si>
  <si>
    <t>SGD</t>
  </si>
  <si>
    <t>Singaporean Dollar</t>
  </si>
  <si>
    <t>CHF</t>
  </si>
  <si>
    <t>Swiss Franc</t>
  </si>
  <si>
    <t>GBP</t>
  </si>
  <si>
    <t>United Kingdom Pound</t>
  </si>
  <si>
    <t>USD</t>
  </si>
  <si>
    <t>United States Dollar</t>
  </si>
  <si>
    <t>BSD</t>
  </si>
  <si>
    <t>Bahamian Dollar</t>
  </si>
  <si>
    <t>BHD</t>
  </si>
  <si>
    <t>Bahraini Dinar</t>
  </si>
  <si>
    <t>BBD</t>
  </si>
  <si>
    <t>Barbadian Dollar</t>
  </si>
  <si>
    <t>BMD</t>
  </si>
  <si>
    <t>Bermudan Dollar</t>
  </si>
  <si>
    <t>BND</t>
  </si>
  <si>
    <t>Brunei Dollar</t>
  </si>
  <si>
    <t>XPF</t>
  </si>
  <si>
    <t>CFP - FRANC</t>
  </si>
  <si>
    <t>CLP</t>
  </si>
  <si>
    <t>Chilean Peso</t>
  </si>
  <si>
    <t>CNY</t>
  </si>
  <si>
    <t>Chinese Yuan Renminbi</t>
  </si>
  <si>
    <t>DKK</t>
  </si>
  <si>
    <t>Danish Kroner</t>
  </si>
  <si>
    <t>EGP</t>
  </si>
  <si>
    <t>Egyptian Pound</t>
  </si>
  <si>
    <t>FJD</t>
  </si>
  <si>
    <t>Fijian Dollar</t>
  </si>
  <si>
    <t>HongKong Dollar</t>
  </si>
  <si>
    <t>HUF</t>
  </si>
  <si>
    <t>Hungarian Forint</t>
  </si>
  <si>
    <t>INR</t>
  </si>
  <si>
    <t>Indian Rupee</t>
  </si>
  <si>
    <t>IDR</t>
  </si>
  <si>
    <t>Indonesian Rupiah</t>
  </si>
  <si>
    <t>JOD</t>
  </si>
  <si>
    <t>Jordanian Dinar</t>
  </si>
  <si>
    <t>MYR</t>
  </si>
  <si>
    <t>Malaysian Ringgit</t>
  </si>
  <si>
    <t>MUR</t>
  </si>
  <si>
    <t>Mauritian Rupee</t>
  </si>
  <si>
    <t>NOK</t>
  </si>
  <si>
    <t>Norwegian Kroner</t>
  </si>
  <si>
    <t>OMR</t>
  </si>
  <si>
    <t>Omani Rial</t>
  </si>
  <si>
    <t>PKR</t>
  </si>
  <si>
    <t>Pakistani Rupee</t>
  </si>
  <si>
    <t>PGK</t>
  </si>
  <si>
    <t>Papua New Guinea Kina</t>
  </si>
  <si>
    <t>PHP</t>
  </si>
  <si>
    <t>Philippine Peso</t>
  </si>
  <si>
    <t>QAR</t>
  </si>
  <si>
    <t>Qatari Rial</t>
  </si>
  <si>
    <t>SAR</t>
  </si>
  <si>
    <t>Saudi Riyal</t>
  </si>
  <si>
    <t>SBD</t>
  </si>
  <si>
    <t>Soloman Islands Dollar</t>
  </si>
  <si>
    <t>ZAR</t>
  </si>
  <si>
    <t>South African Rand</t>
  </si>
  <si>
    <t>KRW</t>
  </si>
  <si>
    <t>South Korean Won</t>
  </si>
  <si>
    <t>SEK</t>
  </si>
  <si>
    <t>Swedish Krona</t>
  </si>
  <si>
    <t>TWD</t>
  </si>
  <si>
    <t>Taiwanese Dollar</t>
  </si>
  <si>
    <t>THB</t>
  </si>
  <si>
    <t>Thai Baht</t>
  </si>
  <si>
    <t>AED</t>
  </si>
  <si>
    <t>UAE Dirham</t>
  </si>
  <si>
    <t>LKR</t>
  </si>
  <si>
    <t>Sri Lankan Rupee</t>
  </si>
  <si>
    <t>AUD</t>
  </si>
  <si>
    <t>Australian Dollar</t>
  </si>
  <si>
    <t>ARS</t>
  </si>
  <si>
    <t>Argentine Peso</t>
  </si>
  <si>
    <t>BRL</t>
  </si>
  <si>
    <t>Brazilian Real</t>
  </si>
  <si>
    <t>CZK</t>
  </si>
  <si>
    <t>Czech Koruna</t>
  </si>
  <si>
    <t>ILS</t>
  </si>
  <si>
    <t>Israeli Shekel</t>
  </si>
  <si>
    <t>MXN</t>
  </si>
  <si>
    <t>Mexican Peso</t>
  </si>
  <si>
    <t>TRY</t>
  </si>
  <si>
    <t>Turkish Lira New</t>
  </si>
  <si>
    <t>VND</t>
  </si>
  <si>
    <t>Vietnamese Dong</t>
  </si>
  <si>
    <t>VUV</t>
  </si>
  <si>
    <t>Vanuatu Vatu</t>
  </si>
  <si>
    <t>WST</t>
  </si>
  <si>
    <t>Samoan Tala</t>
  </si>
  <si>
    <t>TOP</t>
  </si>
  <si>
    <t>Tongan Pa'anga</t>
  </si>
  <si>
    <t>NZ RATES</t>
  </si>
  <si>
    <t>COP</t>
  </si>
  <si>
    <t>Colombian Peso</t>
  </si>
  <si>
    <t>HRK</t>
  </si>
  <si>
    <t>Croatian Kuna</t>
  </si>
  <si>
    <t>KWD</t>
  </si>
  <si>
    <t>Kuwaiti Dinar</t>
  </si>
  <si>
    <t>MAD</t>
  </si>
  <si>
    <t>Moroccan Dirham</t>
  </si>
  <si>
    <t>MOP</t>
  </si>
  <si>
    <t>Macau Pataca</t>
  </si>
  <si>
    <t>PLN</t>
  </si>
  <si>
    <t>Polish Zloty</t>
  </si>
  <si>
    <t>Russian Rouble</t>
  </si>
  <si>
    <t>RUB</t>
  </si>
  <si>
    <t>EU1</t>
  </si>
  <si>
    <t>EUR FC - Rateboard Tier1</t>
  </si>
  <si>
    <t>EU2</t>
  </si>
  <si>
    <t>EUR FC - Rateboard Tier2</t>
  </si>
  <si>
    <t>EU3</t>
  </si>
  <si>
    <t>EUR FC - Rateboard Tier3</t>
  </si>
  <si>
    <t>GB1</t>
  </si>
  <si>
    <t>GBP FC - Rateboard Tier1</t>
  </si>
  <si>
    <t>GB2</t>
  </si>
  <si>
    <t>GBP FC - Rateboard Tier2</t>
  </si>
  <si>
    <t>GB3</t>
  </si>
  <si>
    <t>GBP FC - Rateboard Tier3</t>
  </si>
  <si>
    <t>KHR</t>
  </si>
  <si>
    <t>Cambodian Riel</t>
  </si>
  <si>
    <t>NPR</t>
  </si>
  <si>
    <t>Nepalese Rupee</t>
  </si>
  <si>
    <t>TTD</t>
  </si>
  <si>
    <t>Trinidad &amp; Tobago Dollar</t>
  </si>
  <si>
    <t>COUNTRY</t>
  </si>
  <si>
    <t>AU Rates</t>
  </si>
  <si>
    <t>KES</t>
  </si>
  <si>
    <t>Kenyan Shilling</t>
  </si>
  <si>
    <t>ISK</t>
  </si>
  <si>
    <t>Icelandic Krone</t>
  </si>
  <si>
    <t>Buy Ccy</t>
  </si>
  <si>
    <t>Buy T/chq</t>
  </si>
  <si>
    <t>Sell T/chq</t>
  </si>
  <si>
    <t>Sell Ccy</t>
  </si>
  <si>
    <t>https://www.bnz.co.nz/personal-banking/international/exchange-rates</t>
  </si>
  <si>
    <t>YOU RECEIVE INTL PAYMENT</t>
  </si>
  <si>
    <t>YOU DEPOSIT FOREIGN CHEQUES</t>
  </si>
  <si>
    <t>YOU SELL FOREIGN CASH</t>
  </si>
  <si>
    <t>YOU SEND INTL PAYMENT</t>
  </si>
  <si>
    <t>YOU BUY FOREIGN CASH</t>
  </si>
  <si>
    <t>Enter Rates Beneath</t>
  </si>
  <si>
    <r>
      <t>Vanuatu </t>
    </r>
    <r>
      <rPr>
        <sz val="8.75"/>
        <color rgb="FF002F6B"/>
        <rFont val="Tahoma"/>
        <family val="2"/>
      </rPr>
      <t>(VUV)</t>
    </r>
  </si>
  <si>
    <r>
      <t>Australia </t>
    </r>
    <r>
      <rPr>
        <sz val="8.75"/>
        <rFont val="Tahoma"/>
        <family val="2"/>
      </rPr>
      <t>(AUD)</t>
    </r>
  </si>
  <si>
    <r>
      <t>United States </t>
    </r>
    <r>
      <rPr>
        <sz val="8.75"/>
        <rFont val="Tahoma"/>
        <family val="2"/>
      </rPr>
      <t>(USD)</t>
    </r>
  </si>
  <si>
    <r>
      <t>Great Britain </t>
    </r>
    <r>
      <rPr>
        <sz val="8.75"/>
        <rFont val="Tahoma"/>
        <family val="2"/>
      </rPr>
      <t>(GBP)</t>
    </r>
  </si>
  <si>
    <r>
      <t>Euro </t>
    </r>
    <r>
      <rPr>
        <sz val="8.75"/>
        <rFont val="Tahoma"/>
        <family val="2"/>
      </rPr>
      <t>(EUR)</t>
    </r>
  </si>
  <si>
    <r>
      <t>Japan </t>
    </r>
    <r>
      <rPr>
        <sz val="8.75"/>
        <rFont val="Tahoma"/>
        <family val="2"/>
      </rPr>
      <t>(JPY)</t>
    </r>
  </si>
  <si>
    <r>
      <t>Bahrain </t>
    </r>
    <r>
      <rPr>
        <sz val="8.75"/>
        <rFont val="Tahoma"/>
        <family val="2"/>
      </rPr>
      <t>(BHD)</t>
    </r>
  </si>
  <si>
    <r>
      <t>Canada </t>
    </r>
    <r>
      <rPr>
        <sz val="8.75"/>
        <rFont val="Tahoma"/>
        <family val="2"/>
      </rPr>
      <t>(CAD)</t>
    </r>
  </si>
  <si>
    <r>
      <t>China </t>
    </r>
    <r>
      <rPr>
        <sz val="8.75"/>
        <rFont val="Tahoma"/>
        <family val="2"/>
      </rPr>
      <t>(CNY)</t>
    </r>
  </si>
  <si>
    <r>
      <t>Denmark </t>
    </r>
    <r>
      <rPr>
        <sz val="8.75"/>
        <rFont val="Tahoma"/>
        <family val="2"/>
      </rPr>
      <t>(DKK)</t>
    </r>
  </si>
  <si>
    <r>
      <t>Fiji </t>
    </r>
    <r>
      <rPr>
        <sz val="8.75"/>
        <rFont val="Tahoma"/>
        <family val="2"/>
      </rPr>
      <t>(FJD)</t>
    </r>
  </si>
  <si>
    <r>
      <t>French Polynesia </t>
    </r>
    <r>
      <rPr>
        <sz val="8.75"/>
        <rFont val="Tahoma"/>
        <family val="2"/>
      </rPr>
      <t>(XPF)</t>
    </r>
  </si>
  <si>
    <r>
      <t>Hong Kong </t>
    </r>
    <r>
      <rPr>
        <sz val="8.75"/>
        <rFont val="Tahoma"/>
        <family val="2"/>
      </rPr>
      <t>(HKD)</t>
    </r>
  </si>
  <si>
    <r>
      <t>India </t>
    </r>
    <r>
      <rPr>
        <sz val="8.75"/>
        <rFont val="Tahoma"/>
        <family val="2"/>
      </rPr>
      <t>(INR)</t>
    </r>
  </si>
  <si>
    <r>
      <t>Kuwait </t>
    </r>
    <r>
      <rPr>
        <sz val="8.75"/>
        <rFont val="Tahoma"/>
        <family val="2"/>
      </rPr>
      <t>(KWD)</t>
    </r>
  </si>
  <si>
    <r>
      <t>Malaysia </t>
    </r>
    <r>
      <rPr>
        <sz val="8.75"/>
        <rFont val="Tahoma"/>
        <family val="2"/>
      </rPr>
      <t>(MYR)</t>
    </r>
  </si>
  <si>
    <r>
      <t>Norway </t>
    </r>
    <r>
      <rPr>
        <sz val="8.75"/>
        <rFont val="Tahoma"/>
        <family val="2"/>
      </rPr>
      <t>(NOK)</t>
    </r>
  </si>
  <si>
    <r>
      <t>Pakistan </t>
    </r>
    <r>
      <rPr>
        <sz val="8.75"/>
        <rFont val="Tahoma"/>
        <family val="2"/>
      </rPr>
      <t>(PKR)</t>
    </r>
  </si>
  <si>
    <r>
      <t>Papua New Guinea </t>
    </r>
    <r>
      <rPr>
        <sz val="8.75"/>
        <rFont val="Tahoma"/>
        <family val="2"/>
      </rPr>
      <t>(PGK)</t>
    </r>
  </si>
  <si>
    <r>
      <t>Samoa </t>
    </r>
    <r>
      <rPr>
        <sz val="8.75"/>
        <rFont val="Tahoma"/>
        <family val="2"/>
      </rPr>
      <t>(WST)</t>
    </r>
  </si>
  <si>
    <r>
      <t>Singapore </t>
    </r>
    <r>
      <rPr>
        <sz val="8.75"/>
        <rFont val="Tahoma"/>
        <family val="2"/>
      </rPr>
      <t>(SGD)</t>
    </r>
  </si>
  <si>
    <r>
      <t>Solomon Islands </t>
    </r>
    <r>
      <rPr>
        <sz val="8.75"/>
        <rFont val="Tahoma"/>
        <family val="2"/>
      </rPr>
      <t>(SBD)</t>
    </r>
  </si>
  <si>
    <r>
      <t>South Africa </t>
    </r>
    <r>
      <rPr>
        <sz val="8.75"/>
        <rFont val="Tahoma"/>
        <family val="2"/>
      </rPr>
      <t>(ZAR)</t>
    </r>
  </si>
  <si>
    <r>
      <t>South Korea </t>
    </r>
    <r>
      <rPr>
        <sz val="8.75"/>
        <rFont val="Tahoma"/>
        <family val="2"/>
      </rPr>
      <t>(KRW)</t>
    </r>
  </si>
  <si>
    <r>
      <t>Sweden </t>
    </r>
    <r>
      <rPr>
        <sz val="8.75"/>
        <rFont val="Tahoma"/>
        <family val="2"/>
      </rPr>
      <t>(SEK)</t>
    </r>
  </si>
  <si>
    <r>
      <t>Switzerland </t>
    </r>
    <r>
      <rPr>
        <sz val="8.75"/>
        <rFont val="Tahoma"/>
        <family val="2"/>
      </rPr>
      <t>(CHF)</t>
    </r>
  </si>
  <si>
    <r>
      <t>Thailand </t>
    </r>
    <r>
      <rPr>
        <sz val="8.75"/>
        <rFont val="Tahoma"/>
        <family val="2"/>
      </rPr>
      <t>(THB)</t>
    </r>
  </si>
  <si>
    <r>
      <t>Tonga </t>
    </r>
    <r>
      <rPr>
        <sz val="8.75"/>
        <rFont val="Tahoma"/>
        <family val="2"/>
      </rPr>
      <t>(TOP)</t>
    </r>
  </si>
  <si>
    <r>
      <t>United Arab Emirates </t>
    </r>
    <r>
      <rPr>
        <sz val="8.75"/>
        <rFont val="Tahoma"/>
        <family val="2"/>
      </rPr>
      <t>(AED)</t>
    </r>
  </si>
  <si>
    <t>currencyrate_id</t>
  </si>
  <si>
    <t>from_currency_code</t>
  </si>
  <si>
    <t>to_currency_code</t>
  </si>
  <si>
    <t>from_effective_date</t>
  </si>
  <si>
    <t>to_effective_date</t>
  </si>
  <si>
    <t>std_exchrate</t>
  </si>
  <si>
    <t>latest_exchrate</t>
  </si>
  <si>
    <t>std_exchrate_cheques</t>
  </si>
  <si>
    <t>invoice_exchrate</t>
  </si>
  <si>
    <t>spot_exchrate</t>
  </si>
  <si>
    <t>comparative_exchrate</t>
  </si>
  <si>
    <t>status_ind</t>
  </si>
  <si>
    <t>archive_ind</t>
  </si>
  <si>
    <t>update_date_time</t>
  </si>
  <si>
    <t>update_user</t>
  </si>
  <si>
    <t>NULL</t>
  </si>
  <si>
    <t>000tx01</t>
  </si>
  <si>
    <t>A</t>
  </si>
  <si>
    <t>00ajtph0j</t>
  </si>
  <si>
    <t>00al4aw0g</t>
  </si>
  <si>
    <t>00am3781c</t>
  </si>
  <si>
    <t>ETB</t>
  </si>
  <si>
    <t>00ancp01d</t>
  </si>
  <si>
    <t>GYD</t>
  </si>
  <si>
    <t>00atrl311</t>
  </si>
  <si>
    <t>00atrt40h</t>
  </si>
  <si>
    <t>00aw9hh01</t>
  </si>
  <si>
    <t>00aw9hh02</t>
  </si>
  <si>
    <t>00aw9hh03</t>
  </si>
  <si>
    <t>00aw9hh04</t>
  </si>
  <si>
    <t>00aw9hh05</t>
  </si>
  <si>
    <t>00aw9hh07</t>
  </si>
  <si>
    <t>00aw9hh08</t>
  </si>
  <si>
    <t>00aw9hh09</t>
  </si>
  <si>
    <t>00aw9mu01</t>
  </si>
  <si>
    <t>00aw9mu02</t>
  </si>
  <si>
    <t>00aw9mu03</t>
  </si>
  <si>
    <t>00aw9mu04</t>
  </si>
  <si>
    <t>00aw9mu05</t>
  </si>
  <si>
    <t>00aw9mu07</t>
  </si>
  <si>
    <t>00aw9mu08</t>
  </si>
  <si>
    <t>00aw9mu09</t>
  </si>
  <si>
    <t>id2</t>
  </si>
  <si>
    <t>Cash Buy Rate</t>
  </si>
  <si>
    <t>Enter Rate</t>
  </si>
  <si>
    <t>Country</t>
  </si>
  <si>
    <t>You receive intl payment</t>
  </si>
  <si>
    <t>You deposit foreign cheques</t>
  </si>
  <si>
    <t>You send intl payment</t>
  </si>
  <si>
    <t>Australia (AUD)</t>
  </si>
  <si>
    <t>Bahrain (BHD)</t>
  </si>
  <si>
    <t>Canada (CAD)</t>
  </si>
  <si>
    <t>China (CNY)</t>
  </si>
  <si>
    <t>Denmark (DKK)</t>
  </si>
  <si>
    <t>Euro (EUR)</t>
  </si>
  <si>
    <t>Fiji (FJD)</t>
  </si>
  <si>
    <t>French Polynesia (XPF)</t>
  </si>
  <si>
    <t>Great Britain (GBP)</t>
  </si>
  <si>
    <t>Hong Kong (HKD)</t>
  </si>
  <si>
    <t>India (INR)</t>
  </si>
  <si>
    <t>Japan (JPY)</t>
  </si>
  <si>
    <t>Kuwait (KWD)</t>
  </si>
  <si>
    <t>Malaysia (MYR)</t>
  </si>
  <si>
    <t>Norway (NOK)</t>
  </si>
  <si>
    <t>Pakistan (PKR)</t>
  </si>
  <si>
    <t>Papua New Guinea (PGK)</t>
  </si>
  <si>
    <t>Philippines (PHP)</t>
  </si>
  <si>
    <t>Samoa (WST)</t>
  </si>
  <si>
    <t>Singapore (SGD)</t>
  </si>
  <si>
    <t>Solomon Islands (SBD)</t>
  </si>
  <si>
    <t>South Africa (ZAR)</t>
  </si>
  <si>
    <t>South Korea (KRW)</t>
  </si>
  <si>
    <t>Sweden (SEK)</t>
  </si>
  <si>
    <t>Switzerland (CHF)</t>
  </si>
  <si>
    <t>Thailand (THB)</t>
  </si>
  <si>
    <t>Tonga (TOP)</t>
  </si>
  <si>
    <t>United Arab Emirates (AED)</t>
  </si>
  <si>
    <t>United States (USD)</t>
  </si>
  <si>
    <t>Vanuatu (VUV)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</si>
</sst>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"/>
    <numFmt numFmtId="165" formatCode="_-* #,##0.0000_-;\-* #,##0.0000_-;_-* &quot;-&quot;??_-;_-@_-"/>
  </numFmts>
  <fonts count="1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rgb="FF40494F"/>
      <name val="Arial"/>
      <family val="2"/>
    </font>
    <font>
      <u/>
      <sz val="10"/>
      <color theme="10"/>
      <name val="Arial"/>
      <family val="2"/>
    </font>
    <font>
      <b/>
      <sz val="11"/>
      <color rgb="FF002F6B"/>
      <name val="Tahoma"/>
      <family val="2"/>
    </font>
    <font>
      <sz val="8.75"/>
      <color rgb="FF002F6B"/>
      <name val="Tahoma"/>
      <family val="2"/>
    </font>
    <font>
      <b/>
      <sz val="11"/>
      <color rgb="FF002F6B"/>
      <name val="Tahoma"/>
      <family val="2"/>
    </font>
    <font>
      <sz val="10"/>
      <color rgb="FF002F6B"/>
      <name val="Tahoma"/>
      <family val="2"/>
    </font>
    <font>
      <sz val="10"/>
      <name val="Tahoma"/>
      <family val="2"/>
    </font>
    <font>
      <sz val="8.75"/>
      <name val="Tahoma"/>
      <family val="2"/>
    </font>
    <font>
      <b/>
      <sz val="8"/>
      <color rgb="FF002F6B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BFCF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F3F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E2ECF0"/>
      </bottom>
      <diagonal/>
    </border>
    <border>
      <left/>
      <right/>
      <top/>
      <bottom style="medium">
        <color rgb="FFBDD2E2"/>
      </bottom>
      <diagonal/>
    </border>
    <border>
      <left/>
      <right/>
      <top style="medium">
        <color rgb="FFBDD2E2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164" fontId="0" fillId="0" borderId="0" xfId="0" applyNumberFormat="1"/>
    <xf numFmtId="164" fontId="2" fillId="0" borderId="0" xfId="0" applyNumberFormat="1" applyFont="1"/>
    <xf numFmtId="22" fontId="2" fillId="0" borderId="0" xfId="0" applyNumberFormat="1" applyFont="1"/>
    <xf numFmtId="14" fontId="0" fillId="0" borderId="0" xfId="0" applyNumberFormat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 applyAlignment="1">
      <alignment vertical="center"/>
    </xf>
    <xf numFmtId="0" fontId="5" fillId="4" borderId="0" xfId="0" applyFont="1" applyFill="1"/>
    <xf numFmtId="22" fontId="6" fillId="0" borderId="0" xfId="0" applyNumberFormat="1" applyFont="1"/>
    <xf numFmtId="14" fontId="7" fillId="0" borderId="0" xfId="0" applyNumberFormat="1" applyFont="1"/>
    <xf numFmtId="0" fontId="7" fillId="0" borderId="0" xfId="0" applyFont="1"/>
    <xf numFmtId="0" fontId="6" fillId="0" borderId="0" xfId="0" applyFont="1"/>
    <xf numFmtId="0" fontId="7" fillId="0" borderId="0" xfId="0" applyFont="1" applyAlignment="1">
      <alignment vertical="center" wrapText="1"/>
    </xf>
    <xf numFmtId="0" fontId="7" fillId="2" borderId="0" xfId="0" applyFont="1" applyFill="1" applyAlignment="1">
      <alignment horizontal="left" wrapText="1"/>
    </xf>
    <xf numFmtId="0" fontId="8" fillId="3" borderId="1" xfId="0" applyFont="1" applyFill="1" applyBorder="1" applyAlignment="1">
      <alignment vertical="top" wrapText="1"/>
    </xf>
    <xf numFmtId="0" fontId="8" fillId="3" borderId="2" xfId="0" applyFont="1" applyFill="1" applyBorder="1" applyAlignment="1">
      <alignment vertical="top" wrapText="1"/>
    </xf>
    <xf numFmtId="0" fontId="7" fillId="2" borderId="3" xfId="0" applyFont="1" applyFill="1" applyBorder="1" applyAlignment="1">
      <alignment wrapText="1"/>
    </xf>
    <xf numFmtId="0" fontId="7" fillId="2" borderId="0" xfId="0" applyFont="1" applyFill="1" applyAlignment="1">
      <alignment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right" vertical="center" wrapText="1"/>
    </xf>
    <xf numFmtId="0" fontId="9" fillId="0" borderId="0" xfId="2"/>
    <xf numFmtId="0" fontId="2" fillId="8" borderId="0" xfId="0" applyFont="1" applyFill="1"/>
    <xf numFmtId="0" fontId="6" fillId="8" borderId="0" xfId="0" applyFont="1" applyFill="1"/>
    <xf numFmtId="0" fontId="1" fillId="0" borderId="0" xfId="0" applyFont="1"/>
    <xf numFmtId="0" fontId="10" fillId="5" borderId="0" xfId="0" applyFont="1" applyFill="1" applyAlignment="1">
      <alignment horizontal="left" vertical="top" wrapText="1" indent="1"/>
    </xf>
    <xf numFmtId="0" fontId="10" fillId="5" borderId="0" xfId="0" applyFont="1" applyFill="1" applyAlignment="1">
      <alignment horizontal="left" vertical="top" wrapText="1"/>
    </xf>
    <xf numFmtId="0" fontId="0" fillId="0" borderId="0" xfId="0" applyFill="1"/>
    <xf numFmtId="0" fontId="3" fillId="0" borderId="0" xfId="0" applyFont="1" applyFill="1"/>
    <xf numFmtId="0" fontId="1" fillId="0" borderId="0" xfId="0" applyFont="1" applyFill="1" applyAlignment="1">
      <alignment vertical="center" wrapText="1"/>
    </xf>
    <xf numFmtId="0" fontId="2" fillId="0" borderId="0" xfId="0" applyFont="1" applyFill="1"/>
    <xf numFmtId="164" fontId="0" fillId="0" borderId="0" xfId="0" applyNumberFormat="1" applyFill="1"/>
    <xf numFmtId="164" fontId="1" fillId="7" borderId="0" xfId="0" applyNumberFormat="1" applyFont="1" applyFill="1"/>
    <xf numFmtId="0" fontId="6" fillId="0" borderId="0" xfId="0" applyFont="1" applyFill="1"/>
    <xf numFmtId="165" fontId="7" fillId="0" borderId="0" xfId="1" applyNumberFormat="1" applyFont="1" applyFill="1"/>
    <xf numFmtId="165" fontId="7" fillId="7" borderId="0" xfId="0" applyNumberFormat="1" applyFont="1" applyFill="1"/>
    <xf numFmtId="0" fontId="12" fillId="5" borderId="0" xfId="0" applyFont="1" applyFill="1" applyAlignment="1">
      <alignment horizontal="left" vertical="top" wrapText="1" indent="1"/>
    </xf>
    <xf numFmtId="0" fontId="12" fillId="5" borderId="0" xfId="0" applyFont="1" applyFill="1" applyAlignment="1">
      <alignment horizontal="left" vertical="top" wrapText="1"/>
    </xf>
    <xf numFmtId="0" fontId="0" fillId="5" borderId="0" xfId="0" applyFill="1"/>
    <xf numFmtId="0" fontId="13" fillId="6" borderId="0" xfId="0" applyFont="1" applyFill="1" applyAlignment="1">
      <alignment horizontal="left" vertical="top" wrapText="1" indent="1"/>
    </xf>
    <xf numFmtId="0" fontId="13" fillId="6" borderId="0" xfId="0" applyFont="1" applyFill="1" applyAlignment="1">
      <alignment horizontal="left" vertical="top" wrapText="1"/>
    </xf>
    <xf numFmtId="0" fontId="13" fillId="5" borderId="0" xfId="0" applyFont="1" applyFill="1" applyAlignment="1">
      <alignment horizontal="left" vertical="top" wrapText="1" indent="1"/>
    </xf>
    <xf numFmtId="0" fontId="13" fillId="5" borderId="0" xfId="0" applyFont="1" applyFill="1" applyAlignment="1">
      <alignment horizontal="left" vertical="top" wrapText="1"/>
    </xf>
    <xf numFmtId="0" fontId="14" fillId="6" borderId="0" xfId="0" applyFont="1" applyFill="1" applyAlignment="1">
      <alignment horizontal="left" vertical="top" wrapText="1" indent="1"/>
    </xf>
    <xf numFmtId="0" fontId="14" fillId="6" borderId="0" xfId="0" applyFont="1" applyFill="1" applyAlignment="1">
      <alignment horizontal="left" vertical="top" wrapText="1"/>
    </xf>
    <xf numFmtId="0" fontId="14" fillId="5" borderId="0" xfId="0" applyFont="1" applyFill="1" applyAlignment="1">
      <alignment horizontal="left" vertical="top" wrapText="1" indent="1"/>
    </xf>
    <xf numFmtId="0" fontId="14" fillId="5" borderId="0" xfId="0" applyFont="1" applyFill="1" applyAlignment="1">
      <alignment horizontal="left" vertical="top" wrapText="1"/>
    </xf>
    <xf numFmtId="0" fontId="16" fillId="5" borderId="0" xfId="0" applyFont="1" applyFill="1" applyAlignment="1">
      <alignment horizontal="left" vertical="top" wrapText="1" indent="1"/>
    </xf>
    <xf numFmtId="0" fontId="16" fillId="5" borderId="0" xfId="0" applyFont="1" applyFill="1" applyAlignment="1">
      <alignment horizontal="left" vertical="top" wrapText="1"/>
    </xf>
    <xf numFmtId="22" fontId="0" fillId="0" borderId="0" xfId="0" applyNumberFormat="1"/>
    <xf numFmtId="0" fontId="0" fillId="0" borderId="0" xfId="0" applyNumberFormat="1"/>
  </cellXfs>
  <cellStyles count="3">
    <cellStyle name="Comma" xfId="1" builtinId="3"/>
    <cellStyle name="Hyperlink" xfId="2" builtinId="8"/>
    <cellStyle name="Normal" xfId="0" builtinId="0"/>
  </cellStyles>
  <dxfs count="10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_-* #,##0.0000_-;\-* #,##0.0000_-;_-* &quot;-&quot;??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_-* #,##0.0000_-;\-* #,##0.000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0"/>
      <fill>
        <patternFill patternType="solid">
          <fgColor indexed="64"/>
          <bgColor rgb="FFFFFF00"/>
        </patternFill>
      </fill>
    </dxf>
    <dxf>
      <numFmt numFmtId="164" formatCode="0.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00B0F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16" name="Picture 17" descr="table_divider">
          <a:extLst>
            <a:ext uri="{FF2B5EF4-FFF2-40B4-BE49-F238E27FC236}">
              <a16:creationId xmlns:a16="http://schemas.microsoft.com/office/drawing/2014/main" id="{00000000-0008-0000-0200-000000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17" name="Picture 18" descr="table_divider">
          <a:extLst>
            <a:ext uri="{FF2B5EF4-FFF2-40B4-BE49-F238E27FC236}">
              <a16:creationId xmlns:a16="http://schemas.microsoft.com/office/drawing/2014/main" id="{00000000-0008-0000-0200-000001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18" name="Picture 19" descr="table_divider">
          <a:extLst>
            <a:ext uri="{FF2B5EF4-FFF2-40B4-BE49-F238E27FC236}">
              <a16:creationId xmlns:a16="http://schemas.microsoft.com/office/drawing/2014/main" id="{00000000-0008-0000-0200-000002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19" name="Picture 20" descr="table_divider">
          <a:extLst>
            <a:ext uri="{FF2B5EF4-FFF2-40B4-BE49-F238E27FC236}">
              <a16:creationId xmlns:a16="http://schemas.microsoft.com/office/drawing/2014/main" id="{00000000-0008-0000-0200-000003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20" name="Picture 21" descr="table_divider">
          <a:extLst>
            <a:ext uri="{FF2B5EF4-FFF2-40B4-BE49-F238E27FC236}">
              <a16:creationId xmlns:a16="http://schemas.microsoft.com/office/drawing/2014/main" id="{00000000-0008-0000-0200-000004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21" name="Picture 22" descr="table_divider">
          <a:extLst>
            <a:ext uri="{FF2B5EF4-FFF2-40B4-BE49-F238E27FC236}">
              <a16:creationId xmlns:a16="http://schemas.microsoft.com/office/drawing/2014/main" id="{00000000-0008-0000-0200-000005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22" name="Picture 23" descr="table_divider">
          <a:extLst>
            <a:ext uri="{FF2B5EF4-FFF2-40B4-BE49-F238E27FC236}">
              <a16:creationId xmlns:a16="http://schemas.microsoft.com/office/drawing/2014/main" id="{00000000-0008-0000-0200-000006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23" name="Picture 24" descr="table_divider">
          <a:extLst>
            <a:ext uri="{FF2B5EF4-FFF2-40B4-BE49-F238E27FC236}">
              <a16:creationId xmlns:a16="http://schemas.microsoft.com/office/drawing/2014/main" id="{00000000-0008-0000-0200-000007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24" name="Picture 25" descr="table_divider">
          <a:extLst>
            <a:ext uri="{FF2B5EF4-FFF2-40B4-BE49-F238E27FC236}">
              <a16:creationId xmlns:a16="http://schemas.microsoft.com/office/drawing/2014/main" id="{00000000-0008-0000-0200-000008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25" name="Picture 26" descr="table_divider">
          <a:extLst>
            <a:ext uri="{FF2B5EF4-FFF2-40B4-BE49-F238E27FC236}">
              <a16:creationId xmlns:a16="http://schemas.microsoft.com/office/drawing/2014/main" id="{00000000-0008-0000-0200-000009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26" name="Picture 27" descr="table_divider">
          <a:extLst>
            <a:ext uri="{FF2B5EF4-FFF2-40B4-BE49-F238E27FC236}">
              <a16:creationId xmlns:a16="http://schemas.microsoft.com/office/drawing/2014/main" id="{00000000-0008-0000-0200-00000A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27" name="Picture 28" descr="table_divider">
          <a:extLst>
            <a:ext uri="{FF2B5EF4-FFF2-40B4-BE49-F238E27FC236}">
              <a16:creationId xmlns:a16="http://schemas.microsoft.com/office/drawing/2014/main" id="{00000000-0008-0000-0200-00000B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28" name="Picture 29" descr="table_divider">
          <a:extLst>
            <a:ext uri="{FF2B5EF4-FFF2-40B4-BE49-F238E27FC236}">
              <a16:creationId xmlns:a16="http://schemas.microsoft.com/office/drawing/2014/main" id="{00000000-0008-0000-0200-00000C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29" name="Picture 30" descr="table_divider">
          <a:extLst>
            <a:ext uri="{FF2B5EF4-FFF2-40B4-BE49-F238E27FC236}">
              <a16:creationId xmlns:a16="http://schemas.microsoft.com/office/drawing/2014/main" id="{00000000-0008-0000-0200-00000D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30" name="Picture 31" descr="table_divider">
          <a:extLst>
            <a:ext uri="{FF2B5EF4-FFF2-40B4-BE49-F238E27FC236}">
              <a16:creationId xmlns:a16="http://schemas.microsoft.com/office/drawing/2014/main" id="{00000000-0008-0000-0200-00000E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31" name="Picture 32" descr="table_divider">
          <a:extLst>
            <a:ext uri="{FF2B5EF4-FFF2-40B4-BE49-F238E27FC236}">
              <a16:creationId xmlns:a16="http://schemas.microsoft.com/office/drawing/2014/main" id="{00000000-0008-0000-0200-00000F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32" name="Picture 33" descr="table_divider">
          <a:extLst>
            <a:ext uri="{FF2B5EF4-FFF2-40B4-BE49-F238E27FC236}">
              <a16:creationId xmlns:a16="http://schemas.microsoft.com/office/drawing/2014/main" id="{00000000-0008-0000-0200-000010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33" name="Picture 34" descr="table_divider">
          <a:extLst>
            <a:ext uri="{FF2B5EF4-FFF2-40B4-BE49-F238E27FC236}">
              <a16:creationId xmlns:a16="http://schemas.microsoft.com/office/drawing/2014/main" id="{00000000-0008-0000-0200-000011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34" name="Picture 35" descr="table_divider">
          <a:extLst>
            <a:ext uri="{FF2B5EF4-FFF2-40B4-BE49-F238E27FC236}">
              <a16:creationId xmlns:a16="http://schemas.microsoft.com/office/drawing/2014/main" id="{00000000-0008-0000-0200-000012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35" name="Picture 36" descr="table_divider">
          <a:extLst>
            <a:ext uri="{FF2B5EF4-FFF2-40B4-BE49-F238E27FC236}">
              <a16:creationId xmlns:a16="http://schemas.microsoft.com/office/drawing/2014/main" id="{00000000-0008-0000-0200-000013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36" name="Picture 37" descr="table_divider">
          <a:extLst>
            <a:ext uri="{FF2B5EF4-FFF2-40B4-BE49-F238E27FC236}">
              <a16:creationId xmlns:a16="http://schemas.microsoft.com/office/drawing/2014/main" id="{00000000-0008-0000-0200-000014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37" name="Picture 38" descr="table_divider">
          <a:extLst>
            <a:ext uri="{FF2B5EF4-FFF2-40B4-BE49-F238E27FC236}">
              <a16:creationId xmlns:a16="http://schemas.microsoft.com/office/drawing/2014/main" id="{00000000-0008-0000-0200-000015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38" name="Picture 39" descr="table_divider">
          <a:extLst>
            <a:ext uri="{FF2B5EF4-FFF2-40B4-BE49-F238E27FC236}">
              <a16:creationId xmlns:a16="http://schemas.microsoft.com/office/drawing/2014/main" id="{00000000-0008-0000-0200-000016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39" name="Picture 40" descr="table_divider">
          <a:extLst>
            <a:ext uri="{FF2B5EF4-FFF2-40B4-BE49-F238E27FC236}">
              <a16:creationId xmlns:a16="http://schemas.microsoft.com/office/drawing/2014/main" id="{00000000-0008-0000-0200-000017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40" name="Picture 41" descr="table_divider">
          <a:extLst>
            <a:ext uri="{FF2B5EF4-FFF2-40B4-BE49-F238E27FC236}">
              <a16:creationId xmlns:a16="http://schemas.microsoft.com/office/drawing/2014/main" id="{00000000-0008-0000-0200-000018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41" name="Picture 42" descr="table_divider">
          <a:extLst>
            <a:ext uri="{FF2B5EF4-FFF2-40B4-BE49-F238E27FC236}">
              <a16:creationId xmlns:a16="http://schemas.microsoft.com/office/drawing/2014/main" id="{00000000-0008-0000-0200-000019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42" name="Picture 43" descr="table_divider">
          <a:extLst>
            <a:ext uri="{FF2B5EF4-FFF2-40B4-BE49-F238E27FC236}">
              <a16:creationId xmlns:a16="http://schemas.microsoft.com/office/drawing/2014/main" id="{00000000-0008-0000-0200-00001A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43" name="Picture 44" descr="table_divider">
          <a:extLst>
            <a:ext uri="{FF2B5EF4-FFF2-40B4-BE49-F238E27FC236}">
              <a16:creationId xmlns:a16="http://schemas.microsoft.com/office/drawing/2014/main" id="{00000000-0008-0000-0200-00001B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44" name="Picture 45" descr="table_divider">
          <a:extLst>
            <a:ext uri="{FF2B5EF4-FFF2-40B4-BE49-F238E27FC236}">
              <a16:creationId xmlns:a16="http://schemas.microsoft.com/office/drawing/2014/main" id="{00000000-0008-0000-0200-00001C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45" name="Picture 46" descr="table_divider">
          <a:extLst>
            <a:ext uri="{FF2B5EF4-FFF2-40B4-BE49-F238E27FC236}">
              <a16:creationId xmlns:a16="http://schemas.microsoft.com/office/drawing/2014/main" id="{00000000-0008-0000-0200-00001D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46" name="Picture 47" descr="table_divider">
          <a:extLst>
            <a:ext uri="{FF2B5EF4-FFF2-40B4-BE49-F238E27FC236}">
              <a16:creationId xmlns:a16="http://schemas.microsoft.com/office/drawing/2014/main" id="{00000000-0008-0000-0200-00001E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47" name="Picture 48" descr="table_divider">
          <a:extLst>
            <a:ext uri="{FF2B5EF4-FFF2-40B4-BE49-F238E27FC236}">
              <a16:creationId xmlns:a16="http://schemas.microsoft.com/office/drawing/2014/main" id="{00000000-0008-0000-0200-00001F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48" name="Picture 49" descr="table_divider">
          <a:extLst>
            <a:ext uri="{FF2B5EF4-FFF2-40B4-BE49-F238E27FC236}">
              <a16:creationId xmlns:a16="http://schemas.microsoft.com/office/drawing/2014/main" id="{00000000-0008-0000-0200-000020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49" name="Picture 50" descr="table_divider">
          <a:extLst>
            <a:ext uri="{FF2B5EF4-FFF2-40B4-BE49-F238E27FC236}">
              <a16:creationId xmlns:a16="http://schemas.microsoft.com/office/drawing/2014/main" id="{00000000-0008-0000-0200-000021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50" name="Picture 51" descr="table_divider">
          <a:extLst>
            <a:ext uri="{FF2B5EF4-FFF2-40B4-BE49-F238E27FC236}">
              <a16:creationId xmlns:a16="http://schemas.microsoft.com/office/drawing/2014/main" id="{00000000-0008-0000-0200-000022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51" name="Picture 52" descr="table_divider">
          <a:extLst>
            <a:ext uri="{FF2B5EF4-FFF2-40B4-BE49-F238E27FC236}">
              <a16:creationId xmlns:a16="http://schemas.microsoft.com/office/drawing/2014/main" id="{00000000-0008-0000-0200-000023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52" name="Picture 57" descr="table_divider">
          <a:extLst>
            <a:ext uri="{FF2B5EF4-FFF2-40B4-BE49-F238E27FC236}">
              <a16:creationId xmlns:a16="http://schemas.microsoft.com/office/drawing/2014/main" id="{00000000-0008-0000-0200-000024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53" name="Picture 58" descr="table_divider">
          <a:extLst>
            <a:ext uri="{FF2B5EF4-FFF2-40B4-BE49-F238E27FC236}">
              <a16:creationId xmlns:a16="http://schemas.microsoft.com/office/drawing/2014/main" id="{00000000-0008-0000-0200-000025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54" name="Picture 59" descr="table_divider">
          <a:extLst>
            <a:ext uri="{FF2B5EF4-FFF2-40B4-BE49-F238E27FC236}">
              <a16:creationId xmlns:a16="http://schemas.microsoft.com/office/drawing/2014/main" id="{00000000-0008-0000-0200-000026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55" name="Picture 60" descr="table_divider">
          <a:extLst>
            <a:ext uri="{FF2B5EF4-FFF2-40B4-BE49-F238E27FC236}">
              <a16:creationId xmlns:a16="http://schemas.microsoft.com/office/drawing/2014/main" id="{00000000-0008-0000-0200-000027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56" name="Picture 61" descr="table_divider">
          <a:extLst>
            <a:ext uri="{FF2B5EF4-FFF2-40B4-BE49-F238E27FC236}">
              <a16:creationId xmlns:a16="http://schemas.microsoft.com/office/drawing/2014/main" id="{00000000-0008-0000-0200-000028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57" name="Picture 62" descr="table_divider">
          <a:extLst>
            <a:ext uri="{FF2B5EF4-FFF2-40B4-BE49-F238E27FC236}">
              <a16:creationId xmlns:a16="http://schemas.microsoft.com/office/drawing/2014/main" id="{00000000-0008-0000-0200-000029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58" name="Picture 63" descr="table_divider">
          <a:extLst>
            <a:ext uri="{FF2B5EF4-FFF2-40B4-BE49-F238E27FC236}">
              <a16:creationId xmlns:a16="http://schemas.microsoft.com/office/drawing/2014/main" id="{00000000-0008-0000-0200-00002A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59" name="Picture 64" descr="table_divider">
          <a:extLst>
            <a:ext uri="{FF2B5EF4-FFF2-40B4-BE49-F238E27FC236}">
              <a16:creationId xmlns:a16="http://schemas.microsoft.com/office/drawing/2014/main" id="{00000000-0008-0000-0200-00002B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60" name="Picture 65" descr="table_divider">
          <a:extLst>
            <a:ext uri="{FF2B5EF4-FFF2-40B4-BE49-F238E27FC236}">
              <a16:creationId xmlns:a16="http://schemas.microsoft.com/office/drawing/2014/main" id="{00000000-0008-0000-0200-00002C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61" name="Picture 66" descr="table_divider">
          <a:extLst>
            <a:ext uri="{FF2B5EF4-FFF2-40B4-BE49-F238E27FC236}">
              <a16:creationId xmlns:a16="http://schemas.microsoft.com/office/drawing/2014/main" id="{00000000-0008-0000-0200-00002D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62" name="Picture 67" descr="table_divider">
          <a:extLst>
            <a:ext uri="{FF2B5EF4-FFF2-40B4-BE49-F238E27FC236}">
              <a16:creationId xmlns:a16="http://schemas.microsoft.com/office/drawing/2014/main" id="{00000000-0008-0000-0200-00002E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63" name="Picture 68" descr="table_divider">
          <a:extLst>
            <a:ext uri="{FF2B5EF4-FFF2-40B4-BE49-F238E27FC236}">
              <a16:creationId xmlns:a16="http://schemas.microsoft.com/office/drawing/2014/main" id="{00000000-0008-0000-0200-00002F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64" name="Picture 69" descr="table_divider">
          <a:extLst>
            <a:ext uri="{FF2B5EF4-FFF2-40B4-BE49-F238E27FC236}">
              <a16:creationId xmlns:a16="http://schemas.microsoft.com/office/drawing/2014/main" id="{00000000-0008-0000-0200-000030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65" name="Picture 70" descr="table_divider">
          <a:extLst>
            <a:ext uri="{FF2B5EF4-FFF2-40B4-BE49-F238E27FC236}">
              <a16:creationId xmlns:a16="http://schemas.microsoft.com/office/drawing/2014/main" id="{00000000-0008-0000-0200-000031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66" name="Picture 71" descr="table_divider">
          <a:extLst>
            <a:ext uri="{FF2B5EF4-FFF2-40B4-BE49-F238E27FC236}">
              <a16:creationId xmlns:a16="http://schemas.microsoft.com/office/drawing/2014/main" id="{00000000-0008-0000-0200-000032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67" name="Picture 72" descr="table_divider">
          <a:extLst>
            <a:ext uri="{FF2B5EF4-FFF2-40B4-BE49-F238E27FC236}">
              <a16:creationId xmlns:a16="http://schemas.microsoft.com/office/drawing/2014/main" id="{00000000-0008-0000-0200-000033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12</xdr:col>
      <xdr:colOff>409575</xdr:colOff>
      <xdr:row>22</xdr:row>
      <xdr:rowOff>57150</xdr:rowOff>
    </xdr:to>
    <xdr:pic>
      <xdr:nvPicPr>
        <xdr:cNvPr id="60468" name="Picture 73" descr="table_divider">
          <a:extLst>
            <a:ext uri="{FF2B5EF4-FFF2-40B4-BE49-F238E27FC236}">
              <a16:creationId xmlns:a16="http://schemas.microsoft.com/office/drawing/2014/main" id="{00000000-0008-0000-0200-000034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2100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69" name="Picture 74" descr="table_divider">
          <a:extLst>
            <a:ext uri="{FF2B5EF4-FFF2-40B4-BE49-F238E27FC236}">
              <a16:creationId xmlns:a16="http://schemas.microsoft.com/office/drawing/2014/main" id="{00000000-0008-0000-0200-000035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70" name="Picture 75" descr="table_divider">
          <a:extLst>
            <a:ext uri="{FF2B5EF4-FFF2-40B4-BE49-F238E27FC236}">
              <a16:creationId xmlns:a16="http://schemas.microsoft.com/office/drawing/2014/main" id="{00000000-0008-0000-0200-000036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71" name="Picture 76" descr="table_divider">
          <a:extLst>
            <a:ext uri="{FF2B5EF4-FFF2-40B4-BE49-F238E27FC236}">
              <a16:creationId xmlns:a16="http://schemas.microsoft.com/office/drawing/2014/main" id="{00000000-0008-0000-0200-000037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73" name="Picture 78" descr="table_divider">
          <a:extLst>
            <a:ext uri="{FF2B5EF4-FFF2-40B4-BE49-F238E27FC236}">
              <a16:creationId xmlns:a16="http://schemas.microsoft.com/office/drawing/2014/main" id="{00000000-0008-0000-0200-000039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74" name="Picture 79" descr="table_divider">
          <a:extLst>
            <a:ext uri="{FF2B5EF4-FFF2-40B4-BE49-F238E27FC236}">
              <a16:creationId xmlns:a16="http://schemas.microsoft.com/office/drawing/2014/main" id="{00000000-0008-0000-0200-00003A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75" name="Picture 80" descr="table_divider">
          <a:extLst>
            <a:ext uri="{FF2B5EF4-FFF2-40B4-BE49-F238E27FC236}">
              <a16:creationId xmlns:a16="http://schemas.microsoft.com/office/drawing/2014/main" id="{00000000-0008-0000-0200-00003B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77" name="Picture 82" descr="table_divider">
          <a:extLst>
            <a:ext uri="{FF2B5EF4-FFF2-40B4-BE49-F238E27FC236}">
              <a16:creationId xmlns:a16="http://schemas.microsoft.com/office/drawing/2014/main" id="{00000000-0008-0000-0200-00003D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78" name="Picture 83" descr="table_divider">
          <a:extLst>
            <a:ext uri="{FF2B5EF4-FFF2-40B4-BE49-F238E27FC236}">
              <a16:creationId xmlns:a16="http://schemas.microsoft.com/office/drawing/2014/main" id="{00000000-0008-0000-0200-00003E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79" name="Picture 84" descr="table_divider">
          <a:extLst>
            <a:ext uri="{FF2B5EF4-FFF2-40B4-BE49-F238E27FC236}">
              <a16:creationId xmlns:a16="http://schemas.microsoft.com/office/drawing/2014/main" id="{00000000-0008-0000-0200-00003F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21</xdr:row>
      <xdr:rowOff>158750</xdr:rowOff>
    </xdr:from>
    <xdr:to>
      <xdr:col>12</xdr:col>
      <xdr:colOff>409575</xdr:colOff>
      <xdr:row>22</xdr:row>
      <xdr:rowOff>25400</xdr:rowOff>
    </xdr:to>
    <xdr:pic>
      <xdr:nvPicPr>
        <xdr:cNvPr id="60480" name="Picture 85" descr="table_divider">
          <a:extLst>
            <a:ext uri="{FF2B5EF4-FFF2-40B4-BE49-F238E27FC236}">
              <a16:creationId xmlns:a16="http://schemas.microsoft.com/office/drawing/2014/main" id="{00000000-0008-0000-0200-000040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0833" y="5175250"/>
          <a:ext cx="5415491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81" name="Picture 86" descr="table_divider">
          <a:extLst>
            <a:ext uri="{FF2B5EF4-FFF2-40B4-BE49-F238E27FC236}">
              <a16:creationId xmlns:a16="http://schemas.microsoft.com/office/drawing/2014/main" id="{00000000-0008-0000-0200-000041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82" name="Picture 87" descr="table_divider">
          <a:extLst>
            <a:ext uri="{FF2B5EF4-FFF2-40B4-BE49-F238E27FC236}">
              <a16:creationId xmlns:a16="http://schemas.microsoft.com/office/drawing/2014/main" id="{00000000-0008-0000-0200-000042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83" name="Picture 88" descr="table_divider">
          <a:extLst>
            <a:ext uri="{FF2B5EF4-FFF2-40B4-BE49-F238E27FC236}">
              <a16:creationId xmlns:a16="http://schemas.microsoft.com/office/drawing/2014/main" id="{00000000-0008-0000-0200-000043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85" name="Picture 90" descr="table_divider">
          <a:extLst>
            <a:ext uri="{FF2B5EF4-FFF2-40B4-BE49-F238E27FC236}">
              <a16:creationId xmlns:a16="http://schemas.microsoft.com/office/drawing/2014/main" id="{00000000-0008-0000-0200-000045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86" name="Picture 91" descr="table_divider">
          <a:extLst>
            <a:ext uri="{FF2B5EF4-FFF2-40B4-BE49-F238E27FC236}">
              <a16:creationId xmlns:a16="http://schemas.microsoft.com/office/drawing/2014/main" id="{00000000-0008-0000-0200-000046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87" name="Picture 92" descr="table_divider">
          <a:extLst>
            <a:ext uri="{FF2B5EF4-FFF2-40B4-BE49-F238E27FC236}">
              <a16:creationId xmlns:a16="http://schemas.microsoft.com/office/drawing/2014/main" id="{00000000-0008-0000-0200-000047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89" name="Picture 94" descr="table_divider">
          <a:extLst>
            <a:ext uri="{FF2B5EF4-FFF2-40B4-BE49-F238E27FC236}">
              <a16:creationId xmlns:a16="http://schemas.microsoft.com/office/drawing/2014/main" id="{00000000-0008-0000-0200-000049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90" name="Picture 95" descr="table_divider">
          <a:extLst>
            <a:ext uri="{FF2B5EF4-FFF2-40B4-BE49-F238E27FC236}">
              <a16:creationId xmlns:a16="http://schemas.microsoft.com/office/drawing/2014/main" id="{00000000-0008-0000-0200-00004A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91" name="Picture 96" descr="table_divider">
          <a:extLst>
            <a:ext uri="{FF2B5EF4-FFF2-40B4-BE49-F238E27FC236}">
              <a16:creationId xmlns:a16="http://schemas.microsoft.com/office/drawing/2014/main" id="{00000000-0008-0000-0200-00004B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12</xdr:col>
      <xdr:colOff>409575</xdr:colOff>
      <xdr:row>24</xdr:row>
      <xdr:rowOff>57150</xdr:rowOff>
    </xdr:to>
    <xdr:pic>
      <xdr:nvPicPr>
        <xdr:cNvPr id="60493" name="Picture 98" descr="table_divider">
          <a:extLst>
            <a:ext uri="{FF2B5EF4-FFF2-40B4-BE49-F238E27FC236}">
              <a16:creationId xmlns:a16="http://schemas.microsoft.com/office/drawing/2014/main" id="{00000000-0008-0000-0200-00004D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48577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12</xdr:col>
      <xdr:colOff>409575</xdr:colOff>
      <xdr:row>26</xdr:row>
      <xdr:rowOff>57150</xdr:rowOff>
    </xdr:to>
    <xdr:pic>
      <xdr:nvPicPr>
        <xdr:cNvPr id="60494" name="Picture 99" descr="table_divider">
          <a:extLst>
            <a:ext uri="{FF2B5EF4-FFF2-40B4-BE49-F238E27FC236}">
              <a16:creationId xmlns:a16="http://schemas.microsoft.com/office/drawing/2014/main" id="{00000000-0008-0000-0200-00004E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50545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12</xdr:col>
      <xdr:colOff>409575</xdr:colOff>
      <xdr:row>28</xdr:row>
      <xdr:rowOff>57150</xdr:rowOff>
    </xdr:to>
    <xdr:pic>
      <xdr:nvPicPr>
        <xdr:cNvPr id="60495" name="Picture 100" descr="table_divider">
          <a:extLst>
            <a:ext uri="{FF2B5EF4-FFF2-40B4-BE49-F238E27FC236}">
              <a16:creationId xmlns:a16="http://schemas.microsoft.com/office/drawing/2014/main" id="{00000000-0008-0000-0200-00004FE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5829300"/>
          <a:ext cx="5391150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241BCFF-50CF-4DED-8A4E-3E8CD3133E12}" autoFormatId="16" applyNumberFormats="0" applyBorderFormats="0" applyFontFormats="0" applyPatternFormats="0" applyAlignmentFormats="0" applyWidthHeightFormats="0">
  <queryTableRefresh nextId="5">
    <queryTableFields count="4">
      <queryTableField id="1" name="Country" tableColumnId="1"/>
      <queryTableField id="2" name="You receive intl payment" tableColumnId="2"/>
      <queryTableField id="3" name="You deposit foreign cheques" tableColumnId="3"/>
      <queryTableField id="4" name="You send intl payment" tableColumnId="4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5EE47B-A963-404A-AC48-350E6E6BBBC4}" name="AURates" displayName="AURates" ref="A6:E15" totalsRowShown="0" headerRowDxfId="9">
  <autoFilter ref="A6:E15" xr:uid="{797FE1B9-7192-4A03-BF79-18F9E38383B0}"/>
  <tableColumns count="5">
    <tableColumn id="1" xr3:uid="{64109703-9B72-45AB-8A16-2F25CC384E05}" name="currencyrate_id">
      <calculatedColumnFormula>VLOOKUP(B7,Sheet1!$B$17:$P$31,15,FALSE)</calculatedColumnFormula>
    </tableColumn>
    <tableColumn id="2" xr3:uid="{9E9E473F-EC8C-4955-BD54-92E7AD273EC9}" name="Code" dataDxfId="8"/>
    <tableColumn id="3" xr3:uid="{7992A6F9-F571-4FEA-ABEC-8692AB088F2E}" name="Currency Name" dataDxfId="7"/>
    <tableColumn id="4" xr3:uid="{ACC92445-4A09-4346-8089-814E78C36AB9}" name="Cash Buy Rate" dataDxfId="6">
      <calculatedColumnFormula>VLOOKUP(B7,'AU Paste'!$A$1:$G$332,3,FALSE)*1.1</calculatedColumnFormula>
    </tableColumn>
    <tableColumn id="6" xr3:uid="{8AA1DC6A-3B08-4439-BA02-A004A81D9DA5}" name="Enter Rates Beneath" dataDxfId="5">
      <calculatedColumnFormula>1/D7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477A0C-251C-4951-A042-AA6F44FB1E0E}" name="NZRates" displayName="NZRates" ref="A6:E15" totalsRowShown="0">
  <autoFilter ref="A6:E15" xr:uid="{664A7819-26CF-4291-9351-970D602AEF0B}"/>
  <tableColumns count="5">
    <tableColumn id="1" xr3:uid="{7934F94B-2023-474B-AB02-33175F7CF9BA}" name="currencyrate_id">
      <calculatedColumnFormula>VLOOKUP(B7,Sheet1!$B$1:$P$10,15,FALSE)</calculatedColumnFormula>
    </tableColumn>
    <tableColumn id="2" xr3:uid="{6ADE9C8A-750B-4831-A490-114E839E505E}" name="Code" dataDxfId="4"/>
    <tableColumn id="3" xr3:uid="{07CA2B2E-C062-4DE4-979E-B8F3382ADEA0}" name="Currency Name" dataDxfId="3"/>
    <tableColumn id="4" xr3:uid="{0AD7FC05-F5B6-44CD-9D27-6FEFDBC7BB18}" name="Cash Buy Rate" dataDxfId="2" dataCellStyle="Comma">
      <calculatedColumnFormula>VLOOKUP(B7,'NZ PASTE'!A:G,5,0)*1.1</calculatedColumnFormula>
    </tableColumn>
    <tableColumn id="7" xr3:uid="{ABFF982E-65DD-40D1-AF43-5FF7EA0A82DB}" name="Enter Rate" dataDxfId="1">
      <calculatedColumnFormula>1/D7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539B6-7306-4E34-B21E-BEF77218F21C}" name="Table_1" displayName="Table_1" ref="A1:D31" tableType="queryTable" totalsRowShown="0">
  <autoFilter ref="A1:D31" xr:uid="{BC9539B6-7306-4E34-B21E-BEF77218F21C}"/>
  <tableColumns count="4">
    <tableColumn id="1" xr3:uid="{198FE2CE-1057-490B-9938-A5F3C65086C1}" uniqueName="1" name="Country" queryTableFieldId="1" dataDxfId="0"/>
    <tableColumn id="2" xr3:uid="{B60F7F06-BFAB-447B-947A-71F51B90C582}" uniqueName="2" name="You receive intl payment" queryTableFieldId="2"/>
    <tableColumn id="3" xr3:uid="{5934E90F-AF4A-4940-98E1-BF33366886D0}" uniqueName="3" name="You deposit foreign cheques" queryTableFieldId="3"/>
    <tableColumn id="4" xr3:uid="{D55164C5-CF4C-4730-8B59-242C5B6DD23D}" uniqueName="4" name="You send intl payment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bnz.co.nz/personal-banking/international/exchange-rates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M19"/>
  <sheetViews>
    <sheetView zoomScaleNormal="100" workbookViewId="0">
      <selection activeCell="D20" sqref="D20"/>
    </sheetView>
  </sheetViews>
  <sheetFormatPr defaultRowHeight="13.2" x14ac:dyDescent="0.25"/>
  <cols>
    <col min="1" max="1" width="17.21875" customWidth="1"/>
    <col min="2" max="2" width="11.77734375" customWidth="1"/>
    <col min="3" max="3" width="20" customWidth="1"/>
    <col min="4" max="4" width="16.21875" customWidth="1"/>
    <col min="5" max="5" width="21.5546875" customWidth="1"/>
  </cols>
  <sheetData>
    <row r="4" spans="1:13" x14ac:dyDescent="0.25">
      <c r="B4" s="4" t="s">
        <v>140</v>
      </c>
    </row>
    <row r="5" spans="1:13" x14ac:dyDescent="0.25">
      <c r="B5" s="5">
        <f ca="1">NOW()</f>
        <v>44419.715657986111</v>
      </c>
    </row>
    <row r="6" spans="1:13" x14ac:dyDescent="0.25">
      <c r="A6" s="1" t="s">
        <v>185</v>
      </c>
      <c r="B6" s="1" t="s">
        <v>2</v>
      </c>
      <c r="C6" s="1" t="s">
        <v>3</v>
      </c>
      <c r="D6" s="31" t="s">
        <v>228</v>
      </c>
      <c r="E6" s="1" t="s">
        <v>155</v>
      </c>
    </row>
    <row r="7" spans="1:13" x14ac:dyDescent="0.25">
      <c r="A7" t="str">
        <f>VLOOKUP(B7,Sheet1!$B$17:$P$31,15,FALSE)</f>
        <v>00aw9hh01</v>
      </c>
      <c r="B7" s="23" t="s">
        <v>4</v>
      </c>
      <c r="C7" s="28" t="s">
        <v>5</v>
      </c>
      <c r="D7" s="32">
        <f>VLOOKUP(B7,'AU Paste'!$A$1:$G$332,3,FALSE)*1.1</f>
        <v>0.65229999999999999</v>
      </c>
      <c r="E7" s="33">
        <f t="shared" ref="E7:E15" si="0">1/D7</f>
        <v>1.5330369461904032</v>
      </c>
    </row>
    <row r="8" spans="1:13" ht="15" x14ac:dyDescent="0.25">
      <c r="A8" t="str">
        <f>VLOOKUP(B8,Sheet1!$B$17:$P$31,15,FALSE)</f>
        <v>00aw9hh02</v>
      </c>
      <c r="B8" s="23" t="s">
        <v>7</v>
      </c>
      <c r="C8" s="29" t="s">
        <v>8</v>
      </c>
      <c r="D8" s="32">
        <f>VLOOKUP(B8,'AU Paste'!$A$1:$G$332,3,FALSE)*1.1</f>
        <v>80.509</v>
      </c>
      <c r="E8" s="33">
        <f t="shared" si="0"/>
        <v>1.242097156839608E-2</v>
      </c>
      <c r="I8" s="12"/>
      <c r="J8" s="12"/>
      <c r="K8" s="12"/>
      <c r="L8" s="12"/>
      <c r="M8" s="12"/>
    </row>
    <row r="9" spans="1:13" ht="15" x14ac:dyDescent="0.25">
      <c r="A9" t="str">
        <f>VLOOKUP(B9,Sheet1!$B$17:$P$31,15,FALSE)</f>
        <v>00aw9hh03</v>
      </c>
      <c r="B9" s="23" t="s">
        <v>9</v>
      </c>
      <c r="C9" s="29" t="s">
        <v>10</v>
      </c>
      <c r="D9" s="32">
        <f>VLOOKUP(B9,'AU Paste'!$A$1:$G$332,3,FALSE)*1.1</f>
        <v>1.1979</v>
      </c>
      <c r="E9" s="33">
        <f t="shared" si="0"/>
        <v>0.83479422322397534</v>
      </c>
      <c r="I9" s="12"/>
      <c r="J9" s="12"/>
      <c r="K9" s="12"/>
      <c r="L9" s="12"/>
      <c r="M9" s="12"/>
    </row>
    <row r="10" spans="1:13" x14ac:dyDescent="0.25">
      <c r="A10" t="str">
        <f>VLOOKUP(B10,Sheet1!$B$17:$P$31,15,FALSE)</f>
        <v>00aw9hh04</v>
      </c>
      <c r="B10" s="23" t="s">
        <v>15</v>
      </c>
      <c r="C10" s="29" t="s">
        <v>16</v>
      </c>
      <c r="D10" s="32">
        <f>VLOOKUP(B10,'AU Paste'!$A$1:$G$332,3,FALSE)*1.1</f>
        <v>0.58410000000000006</v>
      </c>
      <c r="E10" s="33">
        <f t="shared" si="0"/>
        <v>1.7120356103406948</v>
      </c>
      <c r="I10" s="2"/>
      <c r="J10" s="2"/>
      <c r="K10" s="2"/>
      <c r="L10" s="2"/>
      <c r="M10" s="2"/>
    </row>
    <row r="11" spans="1:13" x14ac:dyDescent="0.25">
      <c r="A11" t="str">
        <f>VLOOKUP(B11,Sheet1!$B$17:$P$31,15,FALSE)</f>
        <v>00aw9hh05</v>
      </c>
      <c r="B11" s="23" t="s">
        <v>17</v>
      </c>
      <c r="C11" s="29" t="s">
        <v>18</v>
      </c>
      <c r="D11" s="32">
        <f>VLOOKUP(B11,'AU Paste'!$A$1:$G$332,3,FALSE)*1.1</f>
        <v>0.70840000000000003</v>
      </c>
      <c r="E11" s="33">
        <f t="shared" si="0"/>
        <v>1.411631846414455</v>
      </c>
    </row>
    <row r="12" spans="1:13" ht="12.75" customHeight="1" x14ac:dyDescent="0.25">
      <c r="A12" t="str">
        <f>VLOOKUP(B12,Sheet1!$B$17:$P$31,15,FALSE)</f>
        <v>00atrt40h</v>
      </c>
      <c r="B12" s="23" t="s">
        <v>33</v>
      </c>
      <c r="C12" s="30" t="s">
        <v>34</v>
      </c>
      <c r="D12" s="32">
        <f>VLOOKUP(B12,'AU Paste'!$A$1:$G$332,3,FALSE)*1.1</f>
        <v>5.1227</v>
      </c>
      <c r="E12" s="33">
        <f t="shared" si="0"/>
        <v>0.19520955745993324</v>
      </c>
    </row>
    <row r="13" spans="1:13" x14ac:dyDescent="0.25">
      <c r="A13" t="str">
        <f>VLOOKUP(B13,Sheet1!$B$17:$P$31,15,FALSE)</f>
        <v>00aw9hh07</v>
      </c>
      <c r="B13" s="23" t="s">
        <v>6</v>
      </c>
      <c r="C13" s="30" t="s">
        <v>41</v>
      </c>
      <c r="D13" s="32">
        <f>VLOOKUP(B13,'AU Paste'!$A$1:$G$332,3,FALSE)*1.1</f>
        <v>5.8498000000000001</v>
      </c>
      <c r="E13" s="33">
        <f t="shared" si="0"/>
        <v>0.17094601524838457</v>
      </c>
    </row>
    <row r="14" spans="1:13" x14ac:dyDescent="0.25">
      <c r="A14" t="str">
        <f>VLOOKUP(B14,Sheet1!$B$17:$P$31,15,FALSE)</f>
        <v>00aw9hh08</v>
      </c>
      <c r="B14" s="23" t="s">
        <v>72</v>
      </c>
      <c r="C14" s="30" t="s">
        <v>73</v>
      </c>
      <c r="D14" s="32">
        <f>VLOOKUP(B14,'AU Paste'!$A$1:$G$332,3,FALSE)*1.1</f>
        <v>945.02870000000007</v>
      </c>
      <c r="E14" s="33">
        <f t="shared" si="0"/>
        <v>1.0581689212190062E-3</v>
      </c>
    </row>
    <row r="15" spans="1:13" x14ac:dyDescent="0.25">
      <c r="A15" t="str">
        <f>VLOOKUP(B15,Sheet1!$B$17:$P$31,15,FALSE)</f>
        <v>00aw9hh09</v>
      </c>
      <c r="B15" s="23" t="s">
        <v>11</v>
      </c>
      <c r="C15" s="6" t="s">
        <v>12</v>
      </c>
      <c r="D15" s="32">
        <f>VLOOKUP(B15,'AU Paste'!$A$1:$G$332,3,FALSE)*1.1</f>
        <v>1.0978000000000001</v>
      </c>
      <c r="E15" s="33">
        <f t="shared" si="0"/>
        <v>0.91091273456002908</v>
      </c>
    </row>
    <row r="16" spans="1:13" x14ac:dyDescent="0.25">
      <c r="E16" s="25"/>
    </row>
    <row r="17" spans="8:8" x14ac:dyDescent="0.25">
      <c r="H17" s="25"/>
    </row>
    <row r="19" spans="8:8" x14ac:dyDescent="0.25">
      <c r="H19" s="25"/>
    </row>
  </sheetData>
  <phoneticPr fontId="0" type="noConversion"/>
  <pageMargins left="0.74803149606299213" right="0.74803149606299213" top="0.78740157480314965" bottom="0.98425196850393704" header="0.51181102362204722" footer="0.51181102362204722"/>
  <pageSetup paperSize="9" orientation="portrait" r:id="rId1"/>
  <headerFooter alignWithMargins="0">
    <oddHeader>&amp;C&amp;"Arial,Bold"&amp;12DAILY EXCHANGE RATES 
&amp;R&amp;"Arial,Bold"&amp;12&amp;D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5"/>
  <sheetViews>
    <sheetView workbookViewId="0">
      <selection activeCell="H14" sqref="H14"/>
    </sheetView>
  </sheetViews>
  <sheetFormatPr defaultRowHeight="13.2" x14ac:dyDescent="0.25"/>
  <cols>
    <col min="2" max="2" width="12.77734375" customWidth="1"/>
    <col min="3" max="3" width="9.109375" customWidth="1"/>
    <col min="7" max="8" width="9.109375" style="2" customWidth="1"/>
  </cols>
  <sheetData>
    <row r="1" spans="1:11" ht="26.4" x14ac:dyDescent="0.25">
      <c r="A1" s="20" t="s">
        <v>2</v>
      </c>
      <c r="B1" s="20" t="s">
        <v>3</v>
      </c>
      <c r="C1" s="21" t="s">
        <v>145</v>
      </c>
      <c r="D1" s="21" t="s">
        <v>146</v>
      </c>
      <c r="E1" s="21" t="s">
        <v>147</v>
      </c>
      <c r="F1" s="21" t="s">
        <v>148</v>
      </c>
    </row>
    <row r="2" spans="1:11" ht="26.4" x14ac:dyDescent="0.25">
      <c r="A2" s="6" t="s">
        <v>84</v>
      </c>
      <c r="B2" s="6" t="s">
        <v>85</v>
      </c>
      <c r="C2" s="7">
        <v>1</v>
      </c>
      <c r="D2" s="7">
        <v>1</v>
      </c>
      <c r="E2" s="7">
        <v>1</v>
      </c>
      <c r="F2" s="7">
        <v>1</v>
      </c>
    </row>
    <row r="3" spans="1:11" s="1" customFormat="1" ht="26.4" x14ac:dyDescent="0.25">
      <c r="A3" s="6" t="s">
        <v>17</v>
      </c>
      <c r="B3" s="6" t="s">
        <v>18</v>
      </c>
      <c r="C3" s="7">
        <v>0.64400000000000002</v>
      </c>
      <c r="D3" s="7">
        <v>0.65</v>
      </c>
      <c r="E3" s="7">
        <v>0.58399999999999996</v>
      </c>
      <c r="F3" s="7">
        <v>0.58399999999999996</v>
      </c>
      <c r="G3" s="3"/>
      <c r="H3" s="3"/>
      <c r="K3"/>
    </row>
    <row r="4" spans="1:11" s="1" customFormat="1" ht="26.4" x14ac:dyDescent="0.25">
      <c r="A4" s="6" t="s">
        <v>4</v>
      </c>
      <c r="B4" s="6" t="s">
        <v>5</v>
      </c>
      <c r="C4" s="7">
        <v>0.59299999999999997</v>
      </c>
      <c r="D4" s="7">
        <v>0.59899999999999998</v>
      </c>
      <c r="E4" s="7">
        <v>0.51300000000000001</v>
      </c>
      <c r="F4" s="7">
        <v>0.51300000000000001</v>
      </c>
      <c r="G4" s="3"/>
      <c r="H4" s="3"/>
      <c r="K4"/>
    </row>
    <row r="5" spans="1:11" ht="39.6" x14ac:dyDescent="0.25">
      <c r="A5" s="6" t="s">
        <v>15</v>
      </c>
      <c r="B5" s="6" t="s">
        <v>16</v>
      </c>
      <c r="C5" s="7">
        <v>0.53100000000000003</v>
      </c>
      <c r="D5" s="7">
        <v>0.53600000000000003</v>
      </c>
      <c r="E5" s="7">
        <v>0.46899999999999997</v>
      </c>
      <c r="F5" s="7">
        <v>0.46899999999999997</v>
      </c>
    </row>
    <row r="6" spans="1:11" ht="26.4" x14ac:dyDescent="0.25">
      <c r="A6" s="6" t="s">
        <v>9</v>
      </c>
      <c r="B6" s="6" t="s">
        <v>10</v>
      </c>
      <c r="C6" s="7">
        <v>1.089</v>
      </c>
      <c r="D6" s="7">
        <v>1.099</v>
      </c>
      <c r="E6" s="7">
        <v>0.94099999999999995</v>
      </c>
      <c r="F6" s="7">
        <v>0.94099999999999995</v>
      </c>
    </row>
    <row r="7" spans="1:11" x14ac:dyDescent="0.25">
      <c r="A7" s="6" t="s">
        <v>7</v>
      </c>
      <c r="B7" s="6" t="s">
        <v>8</v>
      </c>
      <c r="C7" s="7">
        <v>73.19</v>
      </c>
      <c r="D7" s="7">
        <v>73.84</v>
      </c>
      <c r="E7" s="7">
        <v>61.01</v>
      </c>
      <c r="F7" s="7">
        <v>61.01</v>
      </c>
    </row>
    <row r="8" spans="1:11" ht="26.4" x14ac:dyDescent="0.25">
      <c r="A8" s="6" t="s">
        <v>98</v>
      </c>
      <c r="B8" s="6" t="s">
        <v>99</v>
      </c>
      <c r="C8" s="7">
        <v>16661</v>
      </c>
      <c r="D8" s="7">
        <v>0</v>
      </c>
      <c r="E8" s="7">
        <v>0</v>
      </c>
      <c r="F8" s="7">
        <v>10470</v>
      </c>
    </row>
    <row r="9" spans="1:11" ht="26.4" x14ac:dyDescent="0.25">
      <c r="A9" s="6" t="s">
        <v>0</v>
      </c>
      <c r="B9" s="6" t="s">
        <v>1</v>
      </c>
      <c r="C9" s="7">
        <v>0.95299999999999996</v>
      </c>
      <c r="D9" s="7">
        <v>0.96199999999999997</v>
      </c>
      <c r="E9" s="7">
        <v>0.74399999999999999</v>
      </c>
      <c r="F9" s="7">
        <v>0.74399999999999999</v>
      </c>
    </row>
    <row r="10" spans="1:11" s="1" customFormat="1" x14ac:dyDescent="0.25">
      <c r="A10" s="6" t="s">
        <v>90</v>
      </c>
      <c r="B10" s="6" t="s">
        <v>91</v>
      </c>
      <c r="C10" s="7">
        <v>17.085000000000001</v>
      </c>
      <c r="D10" s="7">
        <v>0</v>
      </c>
      <c r="E10" s="7">
        <v>0</v>
      </c>
      <c r="F10" s="7">
        <v>12.475</v>
      </c>
      <c r="G10" s="3"/>
      <c r="H10" s="3"/>
      <c r="K10"/>
    </row>
    <row r="11" spans="1:11" s="1" customFormat="1" ht="26.4" x14ac:dyDescent="0.25">
      <c r="A11" s="6" t="s">
        <v>96</v>
      </c>
      <c r="B11" s="6" t="s">
        <v>97</v>
      </c>
      <c r="C11" s="7">
        <v>4.6340000000000003</v>
      </c>
      <c r="D11" s="7">
        <v>0</v>
      </c>
      <c r="E11" s="7">
        <v>0</v>
      </c>
      <c r="F11" s="7">
        <v>3.24</v>
      </c>
      <c r="G11" s="3"/>
      <c r="H11" s="3"/>
      <c r="K11"/>
    </row>
    <row r="12" spans="1:11" x14ac:dyDescent="0.25">
      <c r="A12" s="6" t="s">
        <v>92</v>
      </c>
      <c r="B12" s="6" t="s">
        <v>93</v>
      </c>
      <c r="C12" s="7">
        <v>2.657</v>
      </c>
      <c r="D12" s="7">
        <v>0</v>
      </c>
      <c r="E12" s="7">
        <v>0</v>
      </c>
      <c r="F12" s="7">
        <v>1.9390000000000001</v>
      </c>
    </row>
    <row r="13" spans="1:11" x14ac:dyDescent="0.25">
      <c r="A13" s="6" t="s">
        <v>94</v>
      </c>
      <c r="B13" s="6" t="s">
        <v>95</v>
      </c>
      <c r="C13" s="7">
        <v>17.196000000000002</v>
      </c>
      <c r="D13" s="7">
        <v>0</v>
      </c>
      <c r="E13" s="7">
        <v>0</v>
      </c>
      <c r="F13" s="7">
        <v>11.473000000000001</v>
      </c>
    </row>
    <row r="14" spans="1:11" ht="26.4" x14ac:dyDescent="0.25">
      <c r="A14" s="6" t="s">
        <v>82</v>
      </c>
      <c r="B14" s="6" t="s">
        <v>83</v>
      </c>
      <c r="C14" s="7">
        <v>138.029</v>
      </c>
      <c r="D14" s="7">
        <v>0</v>
      </c>
      <c r="E14" s="7">
        <v>0</v>
      </c>
      <c r="F14" s="7">
        <v>91.135999999999996</v>
      </c>
    </row>
    <row r="15" spans="1:11" ht="26.4" x14ac:dyDescent="0.25">
      <c r="A15" s="6" t="s">
        <v>50</v>
      </c>
      <c r="B15" s="6" t="s">
        <v>51</v>
      </c>
      <c r="C15" s="7">
        <v>3.0529999999999999</v>
      </c>
      <c r="D15" s="7">
        <v>0</v>
      </c>
      <c r="E15" s="7">
        <v>0</v>
      </c>
      <c r="F15" s="7">
        <v>2.1850000000000001</v>
      </c>
    </row>
    <row r="16" spans="1:11" s="1" customFormat="1" x14ac:dyDescent="0.25">
      <c r="A16" s="6" t="s">
        <v>100</v>
      </c>
      <c r="B16" s="6" t="s">
        <v>101</v>
      </c>
      <c r="C16" s="7">
        <v>88.926000000000002</v>
      </c>
      <c r="D16" s="7">
        <v>0</v>
      </c>
      <c r="E16" s="7">
        <v>0</v>
      </c>
      <c r="F16" s="7">
        <v>58.959000000000003</v>
      </c>
      <c r="G16" s="3"/>
      <c r="H16" s="3"/>
      <c r="K16"/>
    </row>
    <row r="17" spans="1:11" s="1" customFormat="1" ht="26.4" x14ac:dyDescent="0.25">
      <c r="A17" s="6" t="s">
        <v>6</v>
      </c>
      <c r="B17" s="6" t="s">
        <v>41</v>
      </c>
      <c r="C17" s="7">
        <v>5.3179999999999996</v>
      </c>
      <c r="D17" s="7">
        <v>5.3659999999999997</v>
      </c>
      <c r="E17" s="7">
        <v>0</v>
      </c>
      <c r="F17" s="7">
        <v>4.093</v>
      </c>
      <c r="G17" s="3"/>
      <c r="H17" s="3"/>
      <c r="K17"/>
    </row>
    <row r="18" spans="1:11" ht="26.4" x14ac:dyDescent="0.25">
      <c r="A18" s="6" t="s">
        <v>46</v>
      </c>
      <c r="B18" s="6" t="s">
        <v>47</v>
      </c>
      <c r="C18" s="7">
        <v>10274</v>
      </c>
      <c r="D18" s="7">
        <v>0</v>
      </c>
      <c r="E18" s="7">
        <v>0</v>
      </c>
      <c r="F18" s="7">
        <v>8013</v>
      </c>
    </row>
    <row r="19" spans="1:11" ht="26.4" x14ac:dyDescent="0.25">
      <c r="A19" s="6" t="s">
        <v>33</v>
      </c>
      <c r="B19" s="6" t="s">
        <v>34</v>
      </c>
      <c r="C19" s="7">
        <v>4.657</v>
      </c>
      <c r="D19" s="7">
        <v>0</v>
      </c>
      <c r="E19" s="7">
        <v>0</v>
      </c>
      <c r="F19" s="7">
        <v>3.5920000000000001</v>
      </c>
    </row>
    <row r="20" spans="1:11" ht="26.4" x14ac:dyDescent="0.25">
      <c r="A20" s="6" t="s">
        <v>37</v>
      </c>
      <c r="B20" s="6" t="s">
        <v>38</v>
      </c>
      <c r="C20" s="7">
        <v>11.298</v>
      </c>
      <c r="D20" s="7">
        <v>0</v>
      </c>
      <c r="E20" s="7">
        <v>0</v>
      </c>
      <c r="F20" s="7">
        <v>7.7240000000000002</v>
      </c>
    </row>
    <row r="21" spans="1:11" ht="26.4" x14ac:dyDescent="0.25">
      <c r="A21" s="6" t="s">
        <v>70</v>
      </c>
      <c r="B21" s="6" t="s">
        <v>71</v>
      </c>
      <c r="C21" s="7">
        <v>11.657</v>
      </c>
      <c r="D21" s="7">
        <v>11.762</v>
      </c>
      <c r="E21" s="7">
        <v>8.5310000000000006</v>
      </c>
      <c r="F21" s="7">
        <v>8.5310000000000006</v>
      </c>
    </row>
    <row r="22" spans="1:11" ht="26.4" x14ac:dyDescent="0.25">
      <c r="A22" s="6" t="s">
        <v>86</v>
      </c>
      <c r="B22" s="6" t="s">
        <v>87</v>
      </c>
      <c r="C22" s="7">
        <v>44.981999999999999</v>
      </c>
      <c r="D22" s="7">
        <v>0</v>
      </c>
      <c r="E22" s="7">
        <v>0</v>
      </c>
      <c r="F22" s="7">
        <v>30.881</v>
      </c>
    </row>
    <row r="23" spans="1:11" s="1" customFormat="1" x14ac:dyDescent="0.25">
      <c r="A23" s="6" t="s">
        <v>29</v>
      </c>
      <c r="B23" s="6" t="s">
        <v>30</v>
      </c>
      <c r="C23" s="7">
        <v>77.805999999999997</v>
      </c>
      <c r="D23" s="7">
        <v>0</v>
      </c>
      <c r="E23" s="7">
        <v>0</v>
      </c>
      <c r="F23" s="7">
        <v>53.173999999999999</v>
      </c>
      <c r="G23" s="3"/>
      <c r="H23" s="3"/>
      <c r="K23"/>
    </row>
    <row r="24" spans="1:11" s="1" customFormat="1" x14ac:dyDescent="0.25">
      <c r="A24" s="6" t="s">
        <v>39</v>
      </c>
      <c r="B24" s="6" t="s">
        <v>40</v>
      </c>
      <c r="C24" s="7">
        <v>1.6439999999999999</v>
      </c>
      <c r="D24" s="7">
        <v>0</v>
      </c>
      <c r="E24" s="7">
        <v>0</v>
      </c>
      <c r="F24" s="7">
        <v>1.153</v>
      </c>
      <c r="G24" s="3"/>
      <c r="H24" s="3"/>
      <c r="K24"/>
    </row>
    <row r="25" spans="1:11" ht="26.4" x14ac:dyDescent="0.25">
      <c r="A25" s="6" t="s">
        <v>60</v>
      </c>
      <c r="B25" s="6" t="s">
        <v>61</v>
      </c>
      <c r="C25" s="7">
        <v>2.8029999999999999</v>
      </c>
      <c r="D25" s="7">
        <v>0</v>
      </c>
      <c r="E25" s="7">
        <v>0</v>
      </c>
      <c r="F25" s="7">
        <v>1.6870000000000001</v>
      </c>
    </row>
    <row r="26" spans="1:11" ht="26.4" x14ac:dyDescent="0.25">
      <c r="A26" s="6" t="s">
        <v>62</v>
      </c>
      <c r="B26" s="6" t="s">
        <v>63</v>
      </c>
      <c r="C26" s="7">
        <v>36.567999999999998</v>
      </c>
      <c r="D26" s="7">
        <v>0</v>
      </c>
      <c r="E26" s="7">
        <v>0</v>
      </c>
      <c r="F26" s="7">
        <v>25.669</v>
      </c>
    </row>
    <row r="27" spans="1:11" ht="26.4" x14ac:dyDescent="0.25">
      <c r="A27" s="6" t="s">
        <v>11</v>
      </c>
      <c r="B27" s="6" t="s">
        <v>12</v>
      </c>
      <c r="C27" s="7">
        <v>0.998</v>
      </c>
      <c r="D27" s="7">
        <v>1.0069999999999999</v>
      </c>
      <c r="E27" s="7">
        <v>0</v>
      </c>
      <c r="F27" s="7">
        <v>0.78500000000000003</v>
      </c>
    </row>
    <row r="28" spans="1:11" s="1" customFormat="1" ht="26.4" x14ac:dyDescent="0.25">
      <c r="A28" s="6" t="s">
        <v>72</v>
      </c>
      <c r="B28" s="6" t="s">
        <v>73</v>
      </c>
      <c r="C28" s="7">
        <v>859.11699999999996</v>
      </c>
      <c r="D28" s="7">
        <v>0</v>
      </c>
      <c r="E28" s="7">
        <v>0</v>
      </c>
      <c r="F28" s="7">
        <v>624.48</v>
      </c>
      <c r="G28" s="3"/>
      <c r="H28" s="3"/>
      <c r="K28"/>
    </row>
    <row r="29" spans="1:11" s="1" customFormat="1" x14ac:dyDescent="0.25">
      <c r="A29" s="6" t="s">
        <v>78</v>
      </c>
      <c r="B29" s="6" t="s">
        <v>79</v>
      </c>
      <c r="C29" s="7">
        <v>22.472999999999999</v>
      </c>
      <c r="D29" s="7">
        <v>0</v>
      </c>
      <c r="E29" s="7">
        <v>0</v>
      </c>
      <c r="F29" s="7">
        <v>17.553999999999998</v>
      </c>
      <c r="G29" s="3"/>
      <c r="H29" s="3"/>
      <c r="K29"/>
    </row>
    <row r="30" spans="1:11" x14ac:dyDescent="0.25">
      <c r="A30" s="6" t="s">
        <v>88</v>
      </c>
      <c r="B30" s="6" t="s">
        <v>89</v>
      </c>
      <c r="C30" s="7">
        <v>3.722</v>
      </c>
      <c r="D30" s="7">
        <v>0</v>
      </c>
      <c r="E30" s="7">
        <v>0</v>
      </c>
      <c r="F30" s="7">
        <v>2.46</v>
      </c>
    </row>
    <row r="31" spans="1:11" ht="26.4" x14ac:dyDescent="0.25">
      <c r="A31" s="6" t="s">
        <v>76</v>
      </c>
      <c r="B31" s="6" t="s">
        <v>77</v>
      </c>
      <c r="C31" s="7">
        <v>21.945</v>
      </c>
      <c r="D31" s="7">
        <v>0</v>
      </c>
      <c r="E31" s="7">
        <v>0</v>
      </c>
      <c r="F31" s="7">
        <v>15.388</v>
      </c>
    </row>
    <row r="32" spans="1:11" x14ac:dyDescent="0.25">
      <c r="A32" s="6" t="s">
        <v>80</v>
      </c>
      <c r="B32" s="6" t="s">
        <v>81</v>
      </c>
      <c r="C32" s="7">
        <v>2.593</v>
      </c>
      <c r="D32" s="7">
        <v>0</v>
      </c>
      <c r="E32" s="7">
        <v>0</v>
      </c>
      <c r="F32" s="7">
        <v>1.865</v>
      </c>
    </row>
    <row r="33" spans="1:11" x14ac:dyDescent="0.25">
      <c r="A33" s="6" t="s">
        <v>44</v>
      </c>
      <c r="B33" s="6" t="s">
        <v>45</v>
      </c>
      <c r="C33" s="7">
        <v>53.787999999999997</v>
      </c>
      <c r="D33" s="7">
        <v>0</v>
      </c>
      <c r="E33" s="7">
        <v>0</v>
      </c>
      <c r="F33" s="7">
        <v>36.259</v>
      </c>
    </row>
    <row r="34" spans="1:11" ht="26.4" x14ac:dyDescent="0.25">
      <c r="A34" s="6" t="s">
        <v>23</v>
      </c>
      <c r="B34" s="6" t="s">
        <v>24</v>
      </c>
      <c r="C34" s="7">
        <v>1.478</v>
      </c>
      <c r="D34" s="7">
        <v>0</v>
      </c>
      <c r="E34" s="7">
        <v>0</v>
      </c>
      <c r="F34" s="7">
        <v>0.98599999999999999</v>
      </c>
    </row>
    <row r="35" spans="1:11" ht="26.4" x14ac:dyDescent="0.25">
      <c r="A35" s="6" t="s">
        <v>58</v>
      </c>
      <c r="B35" s="6" t="s">
        <v>59</v>
      </c>
      <c r="C35" s="7">
        <v>114.90600000000001</v>
      </c>
      <c r="D35" s="7">
        <v>0</v>
      </c>
      <c r="E35" s="7">
        <v>0</v>
      </c>
      <c r="F35" s="7">
        <v>80.876000000000005</v>
      </c>
    </row>
    <row r="36" spans="1:11" ht="26.4" x14ac:dyDescent="0.25">
      <c r="A36" s="6" t="s">
        <v>42</v>
      </c>
      <c r="B36" s="6" t="s">
        <v>43</v>
      </c>
      <c r="C36" s="7">
        <v>228.50200000000001</v>
      </c>
      <c r="D36" s="7">
        <v>0</v>
      </c>
      <c r="E36" s="7">
        <v>0</v>
      </c>
      <c r="F36" s="7">
        <v>152.232</v>
      </c>
    </row>
    <row r="37" spans="1:11" s="1" customFormat="1" x14ac:dyDescent="0.25">
      <c r="A37" s="6" t="s">
        <v>102</v>
      </c>
      <c r="B37" s="6" t="s">
        <v>103</v>
      </c>
      <c r="C37" s="7">
        <v>2.0790000000000002</v>
      </c>
      <c r="D37" s="7">
        <v>0</v>
      </c>
      <c r="E37" s="7">
        <v>0</v>
      </c>
      <c r="F37" s="7">
        <v>1.3260000000000001</v>
      </c>
      <c r="G37" s="3"/>
      <c r="H37" s="3"/>
      <c r="K37"/>
    </row>
    <row r="38" spans="1:11" s="1" customFormat="1" ht="26.4" x14ac:dyDescent="0.25">
      <c r="A38" s="6" t="s">
        <v>48</v>
      </c>
      <c r="B38" s="6" t="s">
        <v>49</v>
      </c>
      <c r="C38" s="7">
        <v>0.50900000000000001</v>
      </c>
      <c r="D38" s="7">
        <v>0</v>
      </c>
      <c r="E38" s="7">
        <v>0</v>
      </c>
      <c r="F38" s="7">
        <v>0.35099999999999998</v>
      </c>
      <c r="G38" s="3"/>
      <c r="H38" s="3"/>
      <c r="K38"/>
    </row>
    <row r="39" spans="1:11" ht="26.4" x14ac:dyDescent="0.25">
      <c r="A39" s="6" t="s">
        <v>52</v>
      </c>
      <c r="B39" s="6" t="s">
        <v>53</v>
      </c>
      <c r="C39" s="7">
        <v>29.065000000000001</v>
      </c>
      <c r="D39" s="7">
        <v>0</v>
      </c>
      <c r="E39" s="7">
        <v>0</v>
      </c>
      <c r="F39" s="7">
        <v>18.972999999999999</v>
      </c>
    </row>
    <row r="40" spans="1:11" ht="26.4" x14ac:dyDescent="0.25">
      <c r="A40" s="6" t="s">
        <v>54</v>
      </c>
      <c r="B40" s="6" t="s">
        <v>55</v>
      </c>
      <c r="C40" s="7">
        <v>7.3360000000000003</v>
      </c>
      <c r="D40" s="7">
        <v>0</v>
      </c>
      <c r="E40" s="7">
        <v>0</v>
      </c>
      <c r="F40" s="7">
        <v>5.1470000000000002</v>
      </c>
    </row>
    <row r="41" spans="1:11" x14ac:dyDescent="0.25">
      <c r="A41" s="6" t="s">
        <v>31</v>
      </c>
      <c r="B41" s="6" t="s">
        <v>32</v>
      </c>
      <c r="C41" s="7">
        <v>636.14200000000005</v>
      </c>
      <c r="D41" s="7">
        <v>0</v>
      </c>
      <c r="E41" s="7">
        <v>0</v>
      </c>
      <c r="F41" s="7">
        <v>404.92200000000003</v>
      </c>
    </row>
    <row r="42" spans="1:11" x14ac:dyDescent="0.25">
      <c r="A42" s="6" t="s">
        <v>35</v>
      </c>
      <c r="B42" s="6" t="s">
        <v>36</v>
      </c>
      <c r="C42" s="7">
        <v>4.8339999999999996</v>
      </c>
      <c r="D42" s="7">
        <v>0</v>
      </c>
      <c r="E42" s="7">
        <v>0</v>
      </c>
      <c r="F42" s="7">
        <v>3.371</v>
      </c>
    </row>
    <row r="43" spans="1:11" s="1" customFormat="1" ht="26.4" x14ac:dyDescent="0.25">
      <c r="A43" s="6" t="s">
        <v>68</v>
      </c>
      <c r="B43" s="6" t="s">
        <v>69</v>
      </c>
      <c r="C43" s="7">
        <v>6.1950000000000003</v>
      </c>
      <c r="D43" s="7">
        <v>0</v>
      </c>
      <c r="E43" s="7">
        <v>0</v>
      </c>
      <c r="F43" s="7">
        <v>3.8969999999999998</v>
      </c>
      <c r="G43" s="3"/>
      <c r="H43" s="3"/>
      <c r="K43"/>
    </row>
    <row r="44" spans="1:11" s="1" customFormat="1" ht="26.4" x14ac:dyDescent="0.25">
      <c r="A44" s="6" t="s">
        <v>19</v>
      </c>
      <c r="B44" s="6" t="s">
        <v>20</v>
      </c>
      <c r="C44" s="7">
        <v>0.72399999999999998</v>
      </c>
      <c r="D44" s="7">
        <v>0</v>
      </c>
      <c r="E44" s="7">
        <v>0</v>
      </c>
      <c r="F44" s="7">
        <v>0.50700000000000001</v>
      </c>
      <c r="G44" s="3"/>
      <c r="H44" s="3"/>
      <c r="K44"/>
    </row>
    <row r="45" spans="1:11" s="1" customFormat="1" x14ac:dyDescent="0.25">
      <c r="A45" s="6" t="s">
        <v>21</v>
      </c>
      <c r="B45" s="6" t="s">
        <v>22</v>
      </c>
      <c r="C45" s="7">
        <v>0.27600000000000002</v>
      </c>
      <c r="D45" s="7">
        <v>0</v>
      </c>
      <c r="E45" s="7">
        <v>0</v>
      </c>
      <c r="F45" s="7">
        <v>0.191</v>
      </c>
      <c r="G45" s="3"/>
      <c r="H45" s="3"/>
      <c r="K45"/>
    </row>
    <row r="46" spans="1:11" s="1" customFormat="1" ht="26.4" x14ac:dyDescent="0.25">
      <c r="A46" s="6" t="s">
        <v>25</v>
      </c>
      <c r="B46" s="6" t="s">
        <v>26</v>
      </c>
      <c r="C46" s="7">
        <v>0.72399999999999998</v>
      </c>
      <c r="D46" s="7">
        <v>0</v>
      </c>
      <c r="E46" s="7">
        <v>0</v>
      </c>
      <c r="F46" s="7">
        <v>0.50700000000000001</v>
      </c>
      <c r="G46" s="3"/>
      <c r="H46" s="3"/>
      <c r="K46"/>
    </row>
    <row r="47" spans="1:11" s="1" customFormat="1" x14ac:dyDescent="0.25">
      <c r="A47" s="6" t="s">
        <v>27</v>
      </c>
      <c r="B47" s="6" t="s">
        <v>28</v>
      </c>
      <c r="C47" s="7">
        <v>1.0249999999999999</v>
      </c>
      <c r="D47" s="7">
        <v>0</v>
      </c>
      <c r="E47" s="7">
        <v>0</v>
      </c>
      <c r="F47" s="7">
        <v>0.72799999999999998</v>
      </c>
      <c r="G47" s="3"/>
      <c r="H47" s="3"/>
      <c r="K47"/>
    </row>
    <row r="48" spans="1:11" s="1" customFormat="1" x14ac:dyDescent="0.25">
      <c r="A48" s="6" t="s">
        <v>56</v>
      </c>
      <c r="B48" s="6" t="s">
        <v>57</v>
      </c>
      <c r="C48" s="7">
        <v>0.315</v>
      </c>
      <c r="D48" s="7">
        <v>0</v>
      </c>
      <c r="E48" s="7">
        <v>0</v>
      </c>
      <c r="F48" s="7">
        <v>0.19500000000000001</v>
      </c>
      <c r="G48" s="3"/>
      <c r="H48" s="3"/>
      <c r="K48"/>
    </row>
    <row r="49" spans="1:11" s="1" customFormat="1" x14ac:dyDescent="0.25">
      <c r="A49" s="6" t="s">
        <v>64</v>
      </c>
      <c r="B49" s="6" t="s">
        <v>65</v>
      </c>
      <c r="C49" s="7">
        <v>2.72</v>
      </c>
      <c r="D49" s="7">
        <v>0</v>
      </c>
      <c r="E49" s="7">
        <v>0</v>
      </c>
      <c r="F49" s="7">
        <v>1.8280000000000001</v>
      </c>
      <c r="G49" s="3"/>
      <c r="H49" s="3"/>
      <c r="K49"/>
    </row>
    <row r="50" spans="1:11" x14ac:dyDescent="0.25">
      <c r="A50" s="6" t="s">
        <v>66</v>
      </c>
      <c r="B50" s="6" t="s">
        <v>67</v>
      </c>
      <c r="C50" s="7">
        <v>2.7290000000000001</v>
      </c>
      <c r="D50" s="7">
        <v>0</v>
      </c>
      <c r="E50" s="7">
        <v>0</v>
      </c>
      <c r="F50" s="7">
        <v>1.9079999999999999</v>
      </c>
    </row>
    <row r="51" spans="1:11" ht="26.4" x14ac:dyDescent="0.25">
      <c r="A51" s="6" t="s">
        <v>74</v>
      </c>
      <c r="B51" s="6" t="s">
        <v>75</v>
      </c>
      <c r="C51" s="7">
        <v>7.04</v>
      </c>
      <c r="D51" s="7">
        <v>0</v>
      </c>
      <c r="E51" s="7">
        <v>0</v>
      </c>
      <c r="F51" s="7">
        <v>5.0090000000000003</v>
      </c>
    </row>
    <row r="52" spans="1:11" x14ac:dyDescent="0.25">
      <c r="A52" s="6" t="s">
        <v>13</v>
      </c>
      <c r="B52" s="6" t="s">
        <v>14</v>
      </c>
      <c r="C52" s="7">
        <v>0.66600000000000004</v>
      </c>
      <c r="D52" s="7">
        <v>0.67200000000000004</v>
      </c>
      <c r="E52" s="7">
        <v>0.49</v>
      </c>
      <c r="F52" s="7">
        <v>0.49</v>
      </c>
    </row>
    <row r="53" spans="1:11" ht="26.4" x14ac:dyDescent="0.25">
      <c r="A53" s="6" t="s">
        <v>104</v>
      </c>
      <c r="B53" s="6" t="s">
        <v>105</v>
      </c>
      <c r="C53" s="7">
        <v>1.8029999999999999</v>
      </c>
      <c r="D53" s="7">
        <v>0</v>
      </c>
      <c r="E53" s="7">
        <v>0</v>
      </c>
      <c r="F53" s="7">
        <v>1.1259999999999999</v>
      </c>
    </row>
    <row r="54" spans="1:11" ht="26.4" x14ac:dyDescent="0.25">
      <c r="A54" s="6" t="s">
        <v>107</v>
      </c>
      <c r="B54" s="6" t="s">
        <v>108</v>
      </c>
      <c r="C54" s="7">
        <v>3003.84</v>
      </c>
      <c r="D54" s="7">
        <v>0</v>
      </c>
      <c r="E54" s="7">
        <v>0</v>
      </c>
      <c r="F54" s="7">
        <v>2004.88</v>
      </c>
    </row>
    <row r="55" spans="1:11" x14ac:dyDescent="0.25">
      <c r="A55" s="6" t="s">
        <v>109</v>
      </c>
      <c r="B55" s="6" t="s">
        <v>110</v>
      </c>
      <c r="C55" s="7">
        <v>5.0019999999999998</v>
      </c>
      <c r="D55" s="7"/>
      <c r="E55" s="7"/>
      <c r="F55" s="7">
        <v>3.2730000000000001</v>
      </c>
    </row>
    <row r="56" spans="1:11" x14ac:dyDescent="0.25">
      <c r="A56" s="6" t="s">
        <v>111</v>
      </c>
      <c r="B56" s="6" t="s">
        <v>112</v>
      </c>
      <c r="C56" s="7">
        <v>0.23</v>
      </c>
      <c r="D56" s="7">
        <v>0</v>
      </c>
      <c r="E56" s="7">
        <v>0</v>
      </c>
      <c r="F56" s="7">
        <v>0.15</v>
      </c>
    </row>
    <row r="57" spans="1:11" ht="26.4" x14ac:dyDescent="0.25">
      <c r="A57" s="6" t="s">
        <v>113</v>
      </c>
      <c r="B57" s="6" t="s">
        <v>114</v>
      </c>
      <c r="C57" s="7">
        <v>6.97</v>
      </c>
      <c r="D57" s="7">
        <v>0</v>
      </c>
      <c r="E57" s="7">
        <v>0</v>
      </c>
      <c r="F57" s="7">
        <v>4.6749999999999998</v>
      </c>
    </row>
    <row r="58" spans="1:11" x14ac:dyDescent="0.25">
      <c r="A58" s="6" t="s">
        <v>115</v>
      </c>
      <c r="B58" s="6" t="s">
        <v>116</v>
      </c>
      <c r="C58" s="7">
        <v>5.8860000000000001</v>
      </c>
      <c r="D58" s="7">
        <v>0</v>
      </c>
      <c r="E58" s="7">
        <v>0</v>
      </c>
      <c r="F58" s="7">
        <v>3.9249999999999998</v>
      </c>
    </row>
    <row r="59" spans="1:11" x14ac:dyDescent="0.25">
      <c r="A59" s="6" t="s">
        <v>117</v>
      </c>
      <c r="B59" s="6" t="s">
        <v>118</v>
      </c>
      <c r="C59" s="7">
        <v>2.8809999999999998</v>
      </c>
      <c r="D59" s="7">
        <v>0</v>
      </c>
      <c r="E59" s="7">
        <v>0</v>
      </c>
      <c r="F59" s="7">
        <v>1.905</v>
      </c>
    </row>
    <row r="60" spans="1:11" ht="26.4" x14ac:dyDescent="0.25">
      <c r="A60" s="6" t="s">
        <v>120</v>
      </c>
      <c r="B60" s="6" t="s">
        <v>119</v>
      </c>
      <c r="C60" s="7">
        <v>55.28</v>
      </c>
      <c r="D60" s="7"/>
      <c r="E60" s="7"/>
      <c r="F60" s="7">
        <v>35.44</v>
      </c>
    </row>
    <row r="61" spans="1:11" ht="26.4" x14ac:dyDescent="0.25">
      <c r="A61" s="6" t="s">
        <v>133</v>
      </c>
      <c r="B61" s="6" t="s">
        <v>134</v>
      </c>
      <c r="C61" s="7">
        <v>2848.9369999999999</v>
      </c>
      <c r="D61" s="7">
        <v>0</v>
      </c>
      <c r="E61" s="7">
        <v>0</v>
      </c>
      <c r="F61" s="7">
        <v>1987.442</v>
      </c>
    </row>
    <row r="62" spans="1:11" ht="26.4" x14ac:dyDescent="0.25">
      <c r="A62" s="6" t="s">
        <v>135</v>
      </c>
      <c r="B62" s="6" t="s">
        <v>136</v>
      </c>
      <c r="C62" s="7">
        <v>83.144000000000005</v>
      </c>
      <c r="D62" s="7">
        <v>0</v>
      </c>
      <c r="E62" s="7">
        <v>0</v>
      </c>
      <c r="F62" s="7">
        <v>58.822000000000003</v>
      </c>
    </row>
    <row r="63" spans="1:11" ht="26.4" x14ac:dyDescent="0.25">
      <c r="A63" s="6" t="s">
        <v>141</v>
      </c>
      <c r="B63" s="6" t="s">
        <v>142</v>
      </c>
      <c r="C63" s="7">
        <v>75.728999999999999</v>
      </c>
      <c r="D63" s="7">
        <v>0</v>
      </c>
      <c r="E63" s="7">
        <v>0</v>
      </c>
      <c r="F63" s="7">
        <v>48.317999999999998</v>
      </c>
    </row>
    <row r="64" spans="1:11" ht="26.4" x14ac:dyDescent="0.25">
      <c r="A64" s="6" t="s">
        <v>137</v>
      </c>
      <c r="B64" s="6" t="s">
        <v>138</v>
      </c>
      <c r="C64" s="7">
        <v>4.774</v>
      </c>
      <c r="D64" s="7">
        <v>0</v>
      </c>
      <c r="E64" s="7">
        <v>0</v>
      </c>
      <c r="F64" s="7">
        <v>3.3170000000000002</v>
      </c>
    </row>
    <row r="65" spans="1:6" ht="26.4" x14ac:dyDescent="0.25">
      <c r="A65" s="6" t="s">
        <v>143</v>
      </c>
      <c r="B65" s="6" t="s">
        <v>144</v>
      </c>
      <c r="C65" s="7">
        <v>98.179000000000002</v>
      </c>
      <c r="D65" s="7">
        <v>0</v>
      </c>
      <c r="E65" s="7">
        <v>0</v>
      </c>
      <c r="F65" s="7">
        <v>68.569000000000003</v>
      </c>
    </row>
    <row r="66" spans="1:6" ht="39.6" x14ac:dyDescent="0.25">
      <c r="A66" s="6" t="s">
        <v>121</v>
      </c>
      <c r="B66" s="6" t="s">
        <v>122</v>
      </c>
      <c r="C66" s="7"/>
      <c r="D66" s="7"/>
      <c r="E66" s="7"/>
      <c r="F66" s="7"/>
    </row>
    <row r="67" spans="1:6" ht="39.6" x14ac:dyDescent="0.25">
      <c r="A67" s="6" t="s">
        <v>123</v>
      </c>
      <c r="B67" s="6" t="s">
        <v>124</v>
      </c>
      <c r="C67" s="7"/>
      <c r="D67" s="7"/>
      <c r="E67" s="7"/>
      <c r="F67" s="7"/>
    </row>
    <row r="68" spans="1:6" ht="39.6" x14ac:dyDescent="0.25">
      <c r="A68" s="6" t="s">
        <v>125</v>
      </c>
      <c r="B68" s="6" t="s">
        <v>126</v>
      </c>
      <c r="C68" s="7"/>
      <c r="D68" s="7"/>
      <c r="E68" s="7"/>
      <c r="F68" s="7"/>
    </row>
    <row r="69" spans="1:6" ht="39.6" x14ac:dyDescent="0.25">
      <c r="A69" s="6" t="s">
        <v>127</v>
      </c>
      <c r="B69" s="6" t="s">
        <v>128</v>
      </c>
      <c r="C69" s="7"/>
      <c r="D69" s="7"/>
      <c r="E69" s="7"/>
      <c r="F69" s="7"/>
    </row>
    <row r="70" spans="1:6" ht="39.6" x14ac:dyDescent="0.25">
      <c r="A70" s="6" t="s">
        <v>129</v>
      </c>
      <c r="B70" s="6" t="s">
        <v>130</v>
      </c>
      <c r="C70" s="7"/>
      <c r="D70" s="7"/>
      <c r="E70" s="7"/>
      <c r="F70" s="7"/>
    </row>
    <row r="71" spans="1:6" ht="39.6" x14ac:dyDescent="0.25">
      <c r="A71" s="6" t="s">
        <v>131</v>
      </c>
      <c r="B71" s="6" t="s">
        <v>132</v>
      </c>
      <c r="C71" s="7"/>
      <c r="D71" s="7"/>
      <c r="E71" s="7"/>
      <c r="F71" s="7"/>
    </row>
    <row r="72" spans="1:6" x14ac:dyDescent="0.25">
      <c r="A72" s="8"/>
    </row>
    <row r="73" spans="1:6" x14ac:dyDescent="0.25">
      <c r="A73" s="8"/>
    </row>
    <row r="74" spans="1:6" x14ac:dyDescent="0.25">
      <c r="A74" s="8"/>
    </row>
    <row r="75" spans="1:6" x14ac:dyDescent="0.25">
      <c r="A75" s="8"/>
    </row>
  </sheetData>
  <phoneticPr fontId="0" type="noConversion"/>
  <printOptions gridLines="1"/>
  <pageMargins left="0.94488188976377963" right="0.74803149606299213" top="1.1811023622047245" bottom="0.59055118110236227" header="0.31496062992125984" footer="0.51181102362204722"/>
  <pageSetup paperSize="9" orientation="portrait" r:id="rId1"/>
  <headerFooter alignWithMargins="0">
    <oddHeader>&amp;C&amp;"Arial,Bold"&amp;14AUSTRALIAN WAY PTY. LTD
DAILY FOREIGN EXCHANGE RATES 
11TH. APRIL 2006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4:G30"/>
  <sheetViews>
    <sheetView zoomScale="90" zoomScaleNormal="90" workbookViewId="0">
      <selection activeCell="G13" sqref="G13"/>
    </sheetView>
  </sheetViews>
  <sheetFormatPr defaultColWidth="9.109375" defaultRowHeight="15" x14ac:dyDescent="0.25"/>
  <cols>
    <col min="1" max="1" width="17.5546875" style="12" customWidth="1"/>
    <col min="2" max="2" width="11.5546875" style="12" customWidth="1"/>
    <col min="3" max="3" width="33.109375" style="12" customWidth="1"/>
    <col min="4" max="4" width="19.109375" style="12" customWidth="1"/>
    <col min="5" max="5" width="14.88671875" style="12" customWidth="1"/>
    <col min="6" max="6" width="9.109375" style="12"/>
    <col min="7" max="7" width="17" style="12" customWidth="1"/>
    <col min="8" max="8" width="9.109375" style="12"/>
    <col min="9" max="9" width="12" style="12" customWidth="1"/>
    <col min="10" max="16384" width="9.109375" style="12"/>
  </cols>
  <sheetData>
    <row r="4" spans="1:7" ht="15.6" x14ac:dyDescent="0.3">
      <c r="B4" s="10" t="s">
        <v>106</v>
      </c>
      <c r="C4" s="11">
        <f ca="1">NOW()</f>
        <v>44419.715657986111</v>
      </c>
      <c r="G4" s="22" t="s">
        <v>149</v>
      </c>
    </row>
    <row r="6" spans="1:7" ht="15.6" x14ac:dyDescent="0.3">
      <c r="A6" s="1" t="s">
        <v>185</v>
      </c>
      <c r="B6" s="13" t="s">
        <v>2</v>
      </c>
      <c r="C6" s="13" t="s">
        <v>3</v>
      </c>
      <c r="D6" s="34" t="s">
        <v>228</v>
      </c>
      <c r="E6" s="12" t="s">
        <v>229</v>
      </c>
    </row>
    <row r="7" spans="1:7" ht="15.6" x14ac:dyDescent="0.3">
      <c r="A7" t="str">
        <f>VLOOKUP(B7,Sheet1!$B$1:$P$10,15,FALSE)</f>
        <v>00aw9mu01</v>
      </c>
      <c r="B7" s="24" t="s">
        <v>84</v>
      </c>
      <c r="C7" s="12" t="s">
        <v>234</v>
      </c>
      <c r="D7" s="35">
        <f>VLOOKUP(B7,'NZ PASTE'!A:G,5,0)</f>
        <v>1.0346</v>
      </c>
      <c r="E7" s="36">
        <f t="shared" ref="E7:E15" si="0">1/D7</f>
        <v>0.96655712352600043</v>
      </c>
    </row>
    <row r="8" spans="1:7" ht="15.6" x14ac:dyDescent="0.3">
      <c r="A8" t="str">
        <f>VLOOKUP(B8,Sheet1!$B$1:$P$10,15,FALSE)</f>
        <v>00aw9mu02</v>
      </c>
      <c r="B8" s="24" t="s">
        <v>17</v>
      </c>
      <c r="C8" s="12" t="s">
        <v>262</v>
      </c>
      <c r="D8" s="35">
        <f>VLOOKUP(B8,'NZ PASTE'!A:G,5,0)*1.1</f>
        <v>0.69234000000000007</v>
      </c>
      <c r="E8" s="36">
        <f t="shared" si="0"/>
        <v>1.4443770401825691</v>
      </c>
      <c r="F8" s="12">
        <v>0.75600000000000001</v>
      </c>
    </row>
    <row r="9" spans="1:7" ht="15.6" x14ac:dyDescent="0.3">
      <c r="A9" t="str">
        <f>VLOOKUP(B9,Sheet1!$B$1:$P$10,15,FALSE)</f>
        <v>00aw9mu03</v>
      </c>
      <c r="B9" s="24" t="s">
        <v>15</v>
      </c>
      <c r="C9" s="12" t="s">
        <v>242</v>
      </c>
      <c r="D9" s="35">
        <f>VLOOKUP(B9,'NZ PASTE'!A:G,5,0)*1.1</f>
        <v>0.57442000000000004</v>
      </c>
      <c r="E9" s="36">
        <f t="shared" si="0"/>
        <v>1.7408864593851188</v>
      </c>
    </row>
    <row r="10" spans="1:7" ht="15.6" x14ac:dyDescent="0.3">
      <c r="A10" t="str">
        <f>VLOOKUP(B10,Sheet1!$B$1:$P$10,15,FALSE)</f>
        <v>00aw9mu04</v>
      </c>
      <c r="B10" s="24" t="s">
        <v>4</v>
      </c>
      <c r="C10" s="12" t="s">
        <v>239</v>
      </c>
      <c r="D10" s="35">
        <f>VLOOKUP(B10,'NZ PASTE'!A:G,5,0)*1.1</f>
        <v>0.62777000000000005</v>
      </c>
      <c r="E10" s="36">
        <f t="shared" si="0"/>
        <v>1.5929400895232328</v>
      </c>
    </row>
    <row r="11" spans="1:7" ht="15.6" x14ac:dyDescent="0.3">
      <c r="A11" t="str">
        <f>VLOOKUP(B11,Sheet1!$B$1:$P$10,15,FALSE)</f>
        <v>00aw9mu05</v>
      </c>
      <c r="B11" s="24" t="s">
        <v>7</v>
      </c>
      <c r="C11" s="12" t="s">
        <v>245</v>
      </c>
      <c r="D11" s="35">
        <f>VLOOKUP(B11,'NZ PASTE'!A:G,5,0)*1.1</f>
        <v>74.150999999999996</v>
      </c>
      <c r="E11" s="36">
        <f t="shared" si="0"/>
        <v>1.3485994794406011E-2</v>
      </c>
    </row>
    <row r="12" spans="1:7" ht="15.6" x14ac:dyDescent="0.3">
      <c r="A12" t="str">
        <f>VLOOKUP(B12,Sheet1!$B$1:$P$10,15,FALSE)</f>
        <v>00atrl311</v>
      </c>
      <c r="B12" s="24" t="s">
        <v>33</v>
      </c>
      <c r="C12" s="14" t="s">
        <v>237</v>
      </c>
      <c r="D12" s="35">
        <f>VLOOKUP(B12,'NZ PASTE'!A:G,5,0)*1.1</f>
        <v>5.16296</v>
      </c>
      <c r="E12" s="36">
        <f t="shared" si="0"/>
        <v>0.19368734214481614</v>
      </c>
    </row>
    <row r="13" spans="1:7" ht="15.6" x14ac:dyDescent="0.3">
      <c r="A13" t="str">
        <f>VLOOKUP(B13,Sheet1!$B$1:$P$10,15,FALSE)</f>
        <v>00aw9mu07</v>
      </c>
      <c r="B13" s="24" t="s">
        <v>6</v>
      </c>
      <c r="C13" s="14" t="s">
        <v>243</v>
      </c>
      <c r="D13" s="35">
        <f>VLOOKUP(B13,'NZ PASTE'!A:G,5,0)*1.1</f>
        <v>5.3869199999999999</v>
      </c>
      <c r="E13" s="36">
        <f t="shared" si="0"/>
        <v>0.18563483400533143</v>
      </c>
    </row>
    <row r="14" spans="1:7" ht="15.6" x14ac:dyDescent="0.3">
      <c r="A14" t="str">
        <f>VLOOKUP(B14,Sheet1!$B$1:$P$10,15,FALSE)</f>
        <v>00aw9mu08</v>
      </c>
      <c r="B14" s="24" t="s">
        <v>72</v>
      </c>
      <c r="C14" s="14" t="s">
        <v>256</v>
      </c>
      <c r="D14" s="35">
        <f>VLOOKUP(B14,'NZ PASTE'!A:G,5,0)*1.1</f>
        <v>972.00400000000002</v>
      </c>
      <c r="E14" s="36">
        <f t="shared" si="0"/>
        <v>1.0288023506076108E-3</v>
      </c>
    </row>
    <row r="15" spans="1:7" ht="15.6" x14ac:dyDescent="0.3">
      <c r="A15" t="str">
        <f>VLOOKUP(B15,Sheet1!$B$1:$P$10,15,FALSE)</f>
        <v>00aw9mu09</v>
      </c>
      <c r="B15" s="24" t="s">
        <v>11</v>
      </c>
      <c r="C15" s="14" t="s">
        <v>253</v>
      </c>
      <c r="D15" s="35">
        <f>VLOOKUP(B15,'NZ PASTE'!A:G,5,0)*1.1</f>
        <v>0.99033000000000004</v>
      </c>
      <c r="E15" s="36">
        <f t="shared" si="0"/>
        <v>1.0097644219603565</v>
      </c>
    </row>
    <row r="16" spans="1:7" x14ac:dyDescent="0.25">
      <c r="A16"/>
    </row>
    <row r="17" spans="1:6" x14ac:dyDescent="0.25">
      <c r="A17"/>
    </row>
    <row r="18" spans="1:6" x14ac:dyDescent="0.25">
      <c r="A18"/>
    </row>
    <row r="19" spans="1:6" x14ac:dyDescent="0.25">
      <c r="A19"/>
    </row>
    <row r="20" spans="1:6" x14ac:dyDescent="0.25">
      <c r="A20"/>
    </row>
    <row r="21" spans="1:6" ht="25.5" customHeight="1" x14ac:dyDescent="0.25">
      <c r="F21" s="15"/>
    </row>
    <row r="22" spans="1:6" ht="15" customHeight="1" thickBot="1" x14ac:dyDescent="0.3">
      <c r="F22" s="16"/>
    </row>
    <row r="23" spans="1:6" ht="31.5" customHeight="1" thickBot="1" x14ac:dyDescent="0.3">
      <c r="F23" s="16"/>
    </row>
    <row r="24" spans="1:6" ht="15.6" thickBot="1" x14ac:dyDescent="0.3">
      <c r="F24" s="16"/>
    </row>
    <row r="25" spans="1:6" ht="15.6" thickBot="1" x14ac:dyDescent="0.3">
      <c r="F25" s="16"/>
    </row>
    <row r="26" spans="1:6" ht="15.6" thickBot="1" x14ac:dyDescent="0.3">
      <c r="F26" s="17"/>
    </row>
    <row r="27" spans="1:6" x14ac:dyDescent="0.25">
      <c r="F27" s="18"/>
    </row>
    <row r="28" spans="1:6" x14ac:dyDescent="0.25">
      <c r="F28" s="15"/>
    </row>
    <row r="29" spans="1:6" x14ac:dyDescent="0.25">
      <c r="F29" s="19"/>
    </row>
    <row r="30" spans="1:6" x14ac:dyDescent="0.25">
      <c r="F30" s="15"/>
    </row>
  </sheetData>
  <phoneticPr fontId="4" type="noConversion"/>
  <hyperlinks>
    <hyperlink ref="G4" r:id="rId1" xr:uid="{00000000-0004-0000-0200-000000000000}"/>
  </hyperlinks>
  <pageMargins left="0.75" right="0.75" top="1" bottom="1" header="0.5" footer="0.5"/>
  <pageSetup paperSize="9" orientation="portrait" r:id="rId2"/>
  <headerFooter alignWithMargins="0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A96CE-87DF-45FE-AAEC-354352E8E440}">
  <sheetPr codeName="Sheet6"/>
  <dimension ref="A1:D31"/>
  <sheetViews>
    <sheetView workbookViewId="0">
      <selection activeCell="C7" sqref="C7"/>
    </sheetView>
  </sheetViews>
  <sheetFormatPr defaultRowHeight="13.2" x14ac:dyDescent="0.25"/>
  <cols>
    <col min="1" max="1" width="23.5546875" bestFit="1" customWidth="1"/>
    <col min="2" max="2" width="24.88671875" bestFit="1" customWidth="1"/>
    <col min="3" max="3" width="28.44140625" bestFit="1" customWidth="1"/>
    <col min="4" max="4" width="22.77734375" bestFit="1" customWidth="1"/>
  </cols>
  <sheetData>
    <row r="1" spans="1:4" x14ac:dyDescent="0.25">
      <c r="A1" t="s">
        <v>230</v>
      </c>
      <c r="B1" t="s">
        <v>231</v>
      </c>
      <c r="C1" t="s">
        <v>232</v>
      </c>
      <c r="D1" t="s">
        <v>233</v>
      </c>
    </row>
    <row r="2" spans="1:4" x14ac:dyDescent="0.25">
      <c r="A2" s="51" t="s">
        <v>234</v>
      </c>
      <c r="B2">
        <v>0.97260000000000002</v>
      </c>
      <c r="C2">
        <v>0.97699999999999998</v>
      </c>
      <c r="D2">
        <v>0.93579999999999997</v>
      </c>
    </row>
    <row r="3" spans="1:4" x14ac:dyDescent="0.25">
      <c r="A3" s="51" t="s">
        <v>235</v>
      </c>
      <c r="B3">
        <v>0.27129999999999999</v>
      </c>
      <c r="D3">
        <v>0.25969999999999999</v>
      </c>
    </row>
    <row r="4" spans="1:4" x14ac:dyDescent="0.25">
      <c r="A4" s="51" t="s">
        <v>236</v>
      </c>
      <c r="B4">
        <v>0.90059999999999996</v>
      </c>
      <c r="C4">
        <v>0.9113</v>
      </c>
      <c r="D4">
        <v>0.86660000000000004</v>
      </c>
    </row>
    <row r="5" spans="1:4" x14ac:dyDescent="0.25">
      <c r="A5" s="51" t="s">
        <v>237</v>
      </c>
    </row>
    <row r="6" spans="1:4" x14ac:dyDescent="0.25">
      <c r="A6" s="51" t="s">
        <v>238</v>
      </c>
      <c r="B6">
        <v>4.5095999999999998</v>
      </c>
      <c r="D6">
        <v>4.3391999999999999</v>
      </c>
    </row>
    <row r="7" spans="1:4" x14ac:dyDescent="0.25">
      <c r="A7" s="51" t="s">
        <v>239</v>
      </c>
      <c r="B7">
        <v>0.60640000000000005</v>
      </c>
      <c r="D7">
        <v>0.58350000000000002</v>
      </c>
    </row>
    <row r="8" spans="1:4" x14ac:dyDescent="0.25">
      <c r="A8" s="51" t="s">
        <v>240</v>
      </c>
      <c r="B8">
        <v>1.5093000000000001</v>
      </c>
      <c r="D8">
        <v>1.4273</v>
      </c>
    </row>
    <row r="9" spans="1:4" x14ac:dyDescent="0.25">
      <c r="A9" s="51" t="s">
        <v>241</v>
      </c>
      <c r="B9">
        <v>73.459999999999994</v>
      </c>
      <c r="D9">
        <v>68.62</v>
      </c>
    </row>
    <row r="10" spans="1:4" x14ac:dyDescent="0.25">
      <c r="A10" s="51" t="s">
        <v>242</v>
      </c>
      <c r="B10">
        <v>0.51690000000000003</v>
      </c>
      <c r="C10">
        <v>0.52159999999999995</v>
      </c>
      <c r="D10">
        <v>0.49740000000000001</v>
      </c>
    </row>
    <row r="11" spans="1:4" x14ac:dyDescent="0.25">
      <c r="A11" s="51" t="s">
        <v>243</v>
      </c>
      <c r="B11">
        <v>5.5812999999999997</v>
      </c>
      <c r="D11">
        <v>5.3705999999999996</v>
      </c>
    </row>
    <row r="12" spans="1:4" x14ac:dyDescent="0.25">
      <c r="A12" s="51" t="s">
        <v>244</v>
      </c>
      <c r="B12">
        <v>53.378100000000003</v>
      </c>
      <c r="D12">
        <v>51.126899999999999</v>
      </c>
    </row>
    <row r="13" spans="1:4" x14ac:dyDescent="0.25">
      <c r="A13" s="51" t="s">
        <v>245</v>
      </c>
      <c r="B13">
        <v>78.59</v>
      </c>
      <c r="D13">
        <v>75.62</v>
      </c>
    </row>
    <row r="14" spans="1:4" x14ac:dyDescent="0.25">
      <c r="A14" s="51" t="s">
        <v>246</v>
      </c>
      <c r="B14">
        <v>0.2162</v>
      </c>
      <c r="D14">
        <v>0.20660000000000001</v>
      </c>
    </row>
    <row r="15" spans="1:4" x14ac:dyDescent="0.25">
      <c r="A15" s="51" t="s">
        <v>247</v>
      </c>
    </row>
    <row r="16" spans="1:4" x14ac:dyDescent="0.25">
      <c r="A16" s="51" t="s">
        <v>248</v>
      </c>
      <c r="B16">
        <v>6.3528000000000002</v>
      </c>
      <c r="D16">
        <v>6.1074999999999999</v>
      </c>
    </row>
    <row r="17" spans="1:4" x14ac:dyDescent="0.25">
      <c r="A17" s="51" t="s">
        <v>249</v>
      </c>
      <c r="B17">
        <v>119.98</v>
      </c>
      <c r="D17">
        <v>111.32</v>
      </c>
    </row>
    <row r="18" spans="1:4" x14ac:dyDescent="0.25">
      <c r="A18" s="51" t="s">
        <v>250</v>
      </c>
      <c r="B18">
        <v>2.5619000000000001</v>
      </c>
      <c r="D18">
        <v>2.3854000000000002</v>
      </c>
    </row>
    <row r="19" spans="1:4" x14ac:dyDescent="0.25">
      <c r="A19" s="51" t="s">
        <v>251</v>
      </c>
      <c r="B19">
        <v>35.828800000000001</v>
      </c>
      <c r="D19">
        <v>34.238300000000002</v>
      </c>
    </row>
    <row r="20" spans="1:4" x14ac:dyDescent="0.25">
      <c r="A20" s="51" t="s">
        <v>252</v>
      </c>
      <c r="B20">
        <v>1.8867</v>
      </c>
      <c r="D20">
        <v>1.7275</v>
      </c>
    </row>
    <row r="21" spans="1:4" x14ac:dyDescent="0.25">
      <c r="A21" s="51" t="s">
        <v>253</v>
      </c>
      <c r="B21">
        <v>0.96989999999999998</v>
      </c>
      <c r="D21">
        <v>0.93320000000000003</v>
      </c>
    </row>
    <row r="22" spans="1:4" x14ac:dyDescent="0.25">
      <c r="A22" s="51" t="s">
        <v>254</v>
      </c>
      <c r="B22">
        <v>6.2622</v>
      </c>
      <c r="D22">
        <v>5.1215000000000002</v>
      </c>
    </row>
    <row r="23" spans="1:4" x14ac:dyDescent="0.25">
      <c r="A23" s="51" t="s">
        <v>255</v>
      </c>
      <c r="B23">
        <v>10.311199999999999</v>
      </c>
      <c r="D23">
        <v>9.9030000000000005</v>
      </c>
    </row>
    <row r="24" spans="1:4" x14ac:dyDescent="0.25">
      <c r="A24" s="51" t="s">
        <v>256</v>
      </c>
    </row>
    <row r="25" spans="1:4" x14ac:dyDescent="0.25">
      <c r="A25" s="51" t="s">
        <v>257</v>
      </c>
      <c r="B25">
        <v>6.1870000000000003</v>
      </c>
      <c r="D25">
        <v>5.9402999999999997</v>
      </c>
    </row>
    <row r="26" spans="1:4" x14ac:dyDescent="0.25">
      <c r="A26" s="51" t="s">
        <v>258</v>
      </c>
      <c r="B26">
        <v>0.65080000000000005</v>
      </c>
      <c r="D26">
        <v>0.62619999999999998</v>
      </c>
    </row>
    <row r="27" spans="1:4" x14ac:dyDescent="0.25">
      <c r="A27" s="51" t="s">
        <v>259</v>
      </c>
      <c r="B27">
        <v>24.13</v>
      </c>
      <c r="D27">
        <v>22.51</v>
      </c>
    </row>
    <row r="28" spans="1:4" x14ac:dyDescent="0.25">
      <c r="A28" s="51" t="s">
        <v>260</v>
      </c>
      <c r="B28">
        <v>1.7134</v>
      </c>
      <c r="D28">
        <v>1.4664999999999999</v>
      </c>
    </row>
    <row r="29" spans="1:4" x14ac:dyDescent="0.25">
      <c r="A29" s="51" t="s">
        <v>261</v>
      </c>
    </row>
    <row r="30" spans="1:4" x14ac:dyDescent="0.25">
      <c r="A30" s="51" t="s">
        <v>262</v>
      </c>
      <c r="B30">
        <v>0.71779999999999999</v>
      </c>
      <c r="C30">
        <v>0.72640000000000005</v>
      </c>
      <c r="D30">
        <v>0.69069999999999998</v>
      </c>
    </row>
    <row r="31" spans="1:4" x14ac:dyDescent="0.25">
      <c r="A31" s="51" t="s">
        <v>263</v>
      </c>
      <c r="B31">
        <v>81.290000000000006</v>
      </c>
      <c r="D31">
        <v>74.64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38"/>
  <sheetViews>
    <sheetView tabSelected="1" workbookViewId="0">
      <selection activeCell="H17" sqref="H17"/>
    </sheetView>
  </sheetViews>
  <sheetFormatPr defaultColWidth="19.77734375" defaultRowHeight="13.2" x14ac:dyDescent="0.25"/>
  <cols>
    <col min="1" max="1" width="5.44140625" style="9" bestFit="1" customWidth="1"/>
  </cols>
  <sheetData>
    <row r="1" spans="1:7" ht="13.8" x14ac:dyDescent="0.25">
      <c r="B1" s="26"/>
      <c r="C1" s="27"/>
      <c r="D1" s="27"/>
      <c r="E1" s="27"/>
      <c r="F1" s="27"/>
      <c r="G1" s="27"/>
    </row>
    <row r="2" spans="1:7" ht="41.4" x14ac:dyDescent="0.25">
      <c r="A2" s="9" t="str">
        <f>LEFT(RIGHT(B2,4),3)</f>
        <v>NTR</v>
      </c>
      <c r="B2" s="37" t="s">
        <v>139</v>
      </c>
      <c r="C2" s="38" t="s">
        <v>150</v>
      </c>
      <c r="D2" s="38" t="s">
        <v>151</v>
      </c>
      <c r="E2" s="38" t="s">
        <v>152</v>
      </c>
      <c r="F2" s="38" t="s">
        <v>153</v>
      </c>
      <c r="G2" s="38" t="s">
        <v>154</v>
      </c>
    </row>
    <row r="3" spans="1:7" x14ac:dyDescent="0.25">
      <c r="A3" s="9" t="str">
        <f t="shared" ref="A3:A37" si="0">LEFT(RIGHT(B3,4),3)</f>
        <v>AUD</v>
      </c>
      <c r="B3" s="44" t="s">
        <v>157</v>
      </c>
      <c r="C3" s="45">
        <v>1.0102</v>
      </c>
      <c r="D3" s="45">
        <v>1.0167999999999999</v>
      </c>
      <c r="E3" s="45">
        <v>1.0346</v>
      </c>
      <c r="F3" s="45">
        <v>0.97419999999999995</v>
      </c>
      <c r="G3" s="45">
        <v>0.97419999999999995</v>
      </c>
    </row>
    <row r="4" spans="1:7" x14ac:dyDescent="0.25">
      <c r="A4" s="9" t="str">
        <f t="shared" si="0"/>
        <v>USD</v>
      </c>
      <c r="B4" s="46" t="s">
        <v>158</v>
      </c>
      <c r="C4" s="47">
        <v>0.60750000000000004</v>
      </c>
      <c r="D4" s="47">
        <v>0.61260000000000003</v>
      </c>
      <c r="E4" s="47">
        <v>0.62939999999999996</v>
      </c>
      <c r="F4" s="47">
        <v>0.58489999999999998</v>
      </c>
      <c r="G4" s="47">
        <v>0.58489999999999998</v>
      </c>
    </row>
    <row r="5" spans="1:7" x14ac:dyDescent="0.25">
      <c r="A5" s="9" t="str">
        <f t="shared" si="0"/>
        <v>GBP</v>
      </c>
      <c r="B5" s="44" t="s">
        <v>159</v>
      </c>
      <c r="C5" s="45">
        <v>0.50190000000000001</v>
      </c>
      <c r="D5" s="45">
        <v>0.50590000000000002</v>
      </c>
      <c r="E5" s="45">
        <v>0.5222</v>
      </c>
      <c r="F5" s="45">
        <v>0.48359999999999997</v>
      </c>
      <c r="G5" s="45">
        <v>0.48359999999999997</v>
      </c>
    </row>
    <row r="6" spans="1:7" x14ac:dyDescent="0.25">
      <c r="A6" s="9" t="str">
        <f t="shared" si="0"/>
        <v>EUR</v>
      </c>
      <c r="B6" s="46" t="s">
        <v>160</v>
      </c>
      <c r="C6" s="47">
        <v>0.55320000000000003</v>
      </c>
      <c r="D6" s="47"/>
      <c r="E6" s="47">
        <v>0.57069999999999999</v>
      </c>
      <c r="F6" s="47">
        <v>0.52839999999999998</v>
      </c>
      <c r="G6" s="47">
        <v>0.52839999999999998</v>
      </c>
    </row>
    <row r="7" spans="1:7" x14ac:dyDescent="0.25">
      <c r="A7" s="9" t="str">
        <f t="shared" si="0"/>
        <v>JPY</v>
      </c>
      <c r="B7" s="44" t="s">
        <v>161</v>
      </c>
      <c r="C7" s="45">
        <v>65.290000000000006</v>
      </c>
      <c r="D7" s="45"/>
      <c r="E7" s="45">
        <v>67.41</v>
      </c>
      <c r="F7" s="45">
        <v>62.45</v>
      </c>
      <c r="G7" s="45">
        <v>62.45</v>
      </c>
    </row>
    <row r="8" spans="1:7" ht="20.399999999999999" x14ac:dyDescent="0.25">
      <c r="A8" s="9" t="str">
        <f t="shared" si="0"/>
        <v>NTR</v>
      </c>
      <c r="B8" s="48" t="s">
        <v>139</v>
      </c>
      <c r="C8" s="49" t="s">
        <v>150</v>
      </c>
      <c r="D8" s="49" t="s">
        <v>151</v>
      </c>
      <c r="E8" s="49" t="s">
        <v>152</v>
      </c>
      <c r="F8" s="49" t="s">
        <v>153</v>
      </c>
      <c r="G8" s="49" t="s">
        <v>154</v>
      </c>
    </row>
    <row r="9" spans="1:7" x14ac:dyDescent="0.25">
      <c r="A9" s="9" t="str">
        <f t="shared" si="0"/>
        <v>AUD</v>
      </c>
      <c r="B9" s="44" t="s">
        <v>157</v>
      </c>
      <c r="C9" s="45">
        <v>1.0102</v>
      </c>
      <c r="D9" s="45">
        <v>1.0167999999999999</v>
      </c>
      <c r="E9" s="45">
        <v>1.0346</v>
      </c>
      <c r="F9" s="45">
        <v>0.97419999999999995</v>
      </c>
      <c r="G9" s="45">
        <v>0.97419999999999995</v>
      </c>
    </row>
    <row r="10" spans="1:7" x14ac:dyDescent="0.25">
      <c r="A10" s="9" t="str">
        <f t="shared" si="0"/>
        <v>BHD</v>
      </c>
      <c r="B10" s="46" t="s">
        <v>162</v>
      </c>
      <c r="C10" s="47">
        <v>0.2281</v>
      </c>
      <c r="D10" s="47"/>
      <c r="E10" s="47"/>
      <c r="F10" s="47">
        <v>0.22</v>
      </c>
      <c r="G10" s="47"/>
    </row>
    <row r="11" spans="1:7" x14ac:dyDescent="0.25">
      <c r="A11" s="9" t="str">
        <f t="shared" si="0"/>
        <v>CAD</v>
      </c>
      <c r="B11" s="44" t="s">
        <v>163</v>
      </c>
      <c r="C11" s="45">
        <v>0.86380000000000001</v>
      </c>
      <c r="D11" s="45">
        <v>0.871</v>
      </c>
      <c r="E11" s="45">
        <v>0.89500000000000002</v>
      </c>
      <c r="F11" s="45">
        <v>0.83079999999999998</v>
      </c>
      <c r="G11" s="45">
        <v>0.83079999999999998</v>
      </c>
    </row>
    <row r="12" spans="1:7" x14ac:dyDescent="0.25">
      <c r="A12" s="9" t="str">
        <f t="shared" si="0"/>
        <v>CNY</v>
      </c>
      <c r="B12" s="46" t="s">
        <v>164</v>
      </c>
      <c r="C12" s="47"/>
      <c r="D12" s="47"/>
      <c r="E12" s="47">
        <v>4.6936</v>
      </c>
      <c r="F12" s="47"/>
      <c r="G12" s="47">
        <v>3.8874</v>
      </c>
    </row>
    <row r="13" spans="1:7" x14ac:dyDescent="0.25">
      <c r="A13" s="9" t="str">
        <f t="shared" si="0"/>
        <v>DKK</v>
      </c>
      <c r="B13" s="44" t="s">
        <v>165</v>
      </c>
      <c r="C13" s="45">
        <v>4.1261000000000001</v>
      </c>
      <c r="D13" s="45"/>
      <c r="E13" s="45">
        <v>4.2930999999999999</v>
      </c>
      <c r="F13" s="45">
        <v>3.9624999999999999</v>
      </c>
      <c r="G13" s="45">
        <v>3.9624999999999999</v>
      </c>
    </row>
    <row r="14" spans="1:7" x14ac:dyDescent="0.25">
      <c r="A14" s="9" t="str">
        <f t="shared" si="0"/>
        <v>EUR</v>
      </c>
      <c r="B14" s="46" t="s">
        <v>160</v>
      </c>
      <c r="C14" s="47">
        <v>0.55320000000000003</v>
      </c>
      <c r="D14" s="47"/>
      <c r="E14" s="47">
        <v>0.57069999999999999</v>
      </c>
      <c r="F14" s="47">
        <v>0.52839999999999998</v>
      </c>
      <c r="G14" s="47">
        <v>0.52839999999999998</v>
      </c>
    </row>
    <row r="15" spans="1:7" x14ac:dyDescent="0.25">
      <c r="A15" s="9" t="str">
        <f t="shared" si="0"/>
        <v>FJD</v>
      </c>
      <c r="B15" s="44" t="s">
        <v>166</v>
      </c>
      <c r="C15" s="45">
        <v>1.4155</v>
      </c>
      <c r="D15" s="45"/>
      <c r="E15" s="45">
        <v>1.4693000000000001</v>
      </c>
      <c r="F15" s="45">
        <v>1.2799</v>
      </c>
      <c r="G15" s="45">
        <v>1.2799</v>
      </c>
    </row>
    <row r="16" spans="1:7" ht="26.4" x14ac:dyDescent="0.25">
      <c r="A16" s="9" t="str">
        <f t="shared" si="0"/>
        <v>XPF</v>
      </c>
      <c r="B16" s="46" t="s">
        <v>167</v>
      </c>
      <c r="C16" s="47">
        <v>65.209999999999994</v>
      </c>
      <c r="D16" s="47"/>
      <c r="E16" s="47">
        <v>68.290000000000006</v>
      </c>
      <c r="F16" s="47">
        <v>62.55</v>
      </c>
      <c r="G16" s="47">
        <v>62.55</v>
      </c>
    </row>
    <row r="17" spans="1:7" x14ac:dyDescent="0.25">
      <c r="A17" s="9" t="str">
        <f t="shared" si="0"/>
        <v>GBP</v>
      </c>
      <c r="B17" s="44" t="s">
        <v>159</v>
      </c>
      <c r="C17" s="45">
        <v>0.50190000000000001</v>
      </c>
      <c r="D17" s="45">
        <v>0.50590000000000002</v>
      </c>
      <c r="E17" s="45">
        <v>0.5222</v>
      </c>
      <c r="F17" s="45">
        <v>0.48359999999999997</v>
      </c>
      <c r="G17" s="45">
        <v>0.48359999999999997</v>
      </c>
    </row>
    <row r="18" spans="1:7" x14ac:dyDescent="0.25">
      <c r="A18" s="9" t="str">
        <f t="shared" si="0"/>
        <v>HKD</v>
      </c>
      <c r="B18" s="46" t="s">
        <v>168</v>
      </c>
      <c r="C18" s="47">
        <v>4.6894999999999998</v>
      </c>
      <c r="D18" s="47"/>
      <c r="E18" s="47">
        <v>4.8971999999999998</v>
      </c>
      <c r="F18" s="47">
        <v>4.5255000000000001</v>
      </c>
      <c r="G18" s="47">
        <v>4.5255000000000001</v>
      </c>
    </row>
    <row r="19" spans="1:7" x14ac:dyDescent="0.25">
      <c r="A19" s="9" t="str">
        <f t="shared" si="0"/>
        <v>INR</v>
      </c>
      <c r="B19" s="44" t="s">
        <v>169</v>
      </c>
      <c r="C19" s="45">
        <v>44.7468</v>
      </c>
      <c r="D19" s="45"/>
      <c r="E19" s="45"/>
      <c r="F19" s="45">
        <v>43.093200000000003</v>
      </c>
      <c r="G19" s="45"/>
    </row>
    <row r="20" spans="1:7" x14ac:dyDescent="0.25">
      <c r="A20" s="9" t="str">
        <f t="shared" si="0"/>
        <v>JPY</v>
      </c>
      <c r="B20" s="46" t="s">
        <v>161</v>
      </c>
      <c r="C20" s="47">
        <v>65.290000000000006</v>
      </c>
      <c r="D20" s="47"/>
      <c r="E20" s="47">
        <v>67.41</v>
      </c>
      <c r="F20" s="47">
        <v>62.45</v>
      </c>
      <c r="G20" s="47">
        <v>62.45</v>
      </c>
    </row>
    <row r="21" spans="1:7" x14ac:dyDescent="0.25">
      <c r="A21" s="9" t="str">
        <f t="shared" si="0"/>
        <v>KWD</v>
      </c>
      <c r="B21" s="44" t="s">
        <v>170</v>
      </c>
      <c r="C21" s="45">
        <v>0.18729999999999999</v>
      </c>
      <c r="D21" s="45"/>
      <c r="E21" s="45"/>
      <c r="F21" s="45">
        <v>0.18049999999999999</v>
      </c>
      <c r="G21" s="45"/>
    </row>
    <row r="22" spans="1:7" x14ac:dyDescent="0.25">
      <c r="A22" s="9" t="str">
        <f t="shared" si="0"/>
        <v>MYR</v>
      </c>
      <c r="B22" s="46" t="s">
        <v>171</v>
      </c>
      <c r="C22" s="47"/>
      <c r="D22" s="47"/>
      <c r="E22" s="47">
        <v>2.9472</v>
      </c>
      <c r="F22" s="47"/>
      <c r="G22" s="47">
        <v>2.3996</v>
      </c>
    </row>
    <row r="23" spans="1:7" x14ac:dyDescent="0.25">
      <c r="A23" s="9" t="str">
        <f t="shared" si="0"/>
        <v>NOK</v>
      </c>
      <c r="B23" s="44" t="s">
        <v>172</v>
      </c>
      <c r="C23" s="45">
        <v>6.5933000000000002</v>
      </c>
      <c r="D23" s="45"/>
      <c r="E23" s="45">
        <v>6.8601000000000001</v>
      </c>
      <c r="F23" s="45">
        <v>6.1083999999999996</v>
      </c>
      <c r="G23" s="45">
        <v>6.1083999999999996</v>
      </c>
    </row>
    <row r="24" spans="1:7" x14ac:dyDescent="0.25">
      <c r="A24" s="9" t="str">
        <f t="shared" si="0"/>
        <v>PKR</v>
      </c>
      <c r="B24" s="46" t="s">
        <v>173</v>
      </c>
      <c r="C24" s="47">
        <v>96.45</v>
      </c>
      <c r="D24" s="47"/>
      <c r="E24" s="47"/>
      <c r="F24" s="47">
        <v>92.84</v>
      </c>
      <c r="G24" s="47"/>
    </row>
    <row r="25" spans="1:7" ht="26.4" x14ac:dyDescent="0.25">
      <c r="A25" s="9" t="str">
        <f t="shared" si="0"/>
        <v>PGK</v>
      </c>
      <c r="B25" s="44" t="s">
        <v>174</v>
      </c>
      <c r="C25" s="45">
        <v>2.0996000000000001</v>
      </c>
      <c r="D25" s="45"/>
      <c r="E25" s="45"/>
      <c r="F25" s="45">
        <v>1.7448999999999999</v>
      </c>
      <c r="G25" s="45"/>
    </row>
    <row r="26" spans="1:7" x14ac:dyDescent="0.25">
      <c r="A26" s="9" t="str">
        <f t="shared" si="0"/>
        <v>WST</v>
      </c>
      <c r="B26" s="46" t="s">
        <v>175</v>
      </c>
      <c r="C26" s="47">
        <v>1.7250000000000001</v>
      </c>
      <c r="D26" s="47"/>
      <c r="E26" s="47">
        <v>1.7544</v>
      </c>
      <c r="F26" s="47">
        <v>1.4947999999999999</v>
      </c>
      <c r="G26" s="47">
        <v>1.4464999999999999</v>
      </c>
    </row>
    <row r="27" spans="1:7" x14ac:dyDescent="0.25">
      <c r="A27" s="9" t="str">
        <f t="shared" si="0"/>
        <v>SGD</v>
      </c>
      <c r="B27" s="44" t="s">
        <v>176</v>
      </c>
      <c r="C27" s="45">
        <v>0.86750000000000005</v>
      </c>
      <c r="D27" s="45"/>
      <c r="E27" s="45">
        <v>0.90029999999999999</v>
      </c>
      <c r="F27" s="45">
        <v>0.83450000000000002</v>
      </c>
      <c r="G27" s="45">
        <v>0.83450000000000002</v>
      </c>
    </row>
    <row r="28" spans="1:7" ht="26.4" x14ac:dyDescent="0.25">
      <c r="A28" s="9" t="str">
        <f t="shared" si="0"/>
        <v>SBD</v>
      </c>
      <c r="B28" s="46" t="s">
        <v>177</v>
      </c>
      <c r="C28" s="47">
        <v>5.1589999999999998</v>
      </c>
      <c r="D28" s="47"/>
      <c r="E28" s="47"/>
      <c r="F28" s="47">
        <v>4.2537000000000003</v>
      </c>
      <c r="G28" s="47"/>
    </row>
    <row r="29" spans="1:7" x14ac:dyDescent="0.25">
      <c r="A29" s="9" t="str">
        <f t="shared" si="0"/>
        <v>ZAR</v>
      </c>
      <c r="B29" s="44" t="s">
        <v>178</v>
      </c>
      <c r="C29" s="45">
        <v>10.046099999999999</v>
      </c>
      <c r="D29" s="45"/>
      <c r="E29" s="45">
        <v>10.520300000000001</v>
      </c>
      <c r="F29" s="45">
        <v>9.6719000000000008</v>
      </c>
      <c r="G29" s="45">
        <v>9.6719000000000008</v>
      </c>
    </row>
    <row r="30" spans="1:7" x14ac:dyDescent="0.25">
      <c r="A30" s="9" t="str">
        <f t="shared" si="0"/>
        <v>KRW</v>
      </c>
      <c r="B30" s="46" t="s">
        <v>179</v>
      </c>
      <c r="C30" s="47"/>
      <c r="D30" s="47"/>
      <c r="E30" s="47">
        <v>883.64</v>
      </c>
      <c r="F30" s="47"/>
      <c r="G30" s="47">
        <v>701.77</v>
      </c>
    </row>
    <row r="31" spans="1:7" x14ac:dyDescent="0.25">
      <c r="A31" s="9" t="str">
        <f t="shared" si="0"/>
        <v>SEK</v>
      </c>
      <c r="B31" s="44" t="s">
        <v>180</v>
      </c>
      <c r="C31" s="45">
        <v>6.0353000000000003</v>
      </c>
      <c r="D31" s="45"/>
      <c r="E31" s="45">
        <v>6.2682000000000002</v>
      </c>
      <c r="F31" s="45">
        <v>5.7907999999999999</v>
      </c>
      <c r="G31" s="45">
        <v>5.7907999999999999</v>
      </c>
    </row>
    <row r="32" spans="1:7" x14ac:dyDescent="0.25">
      <c r="A32" s="9" t="str">
        <f t="shared" si="0"/>
        <v>CHF</v>
      </c>
      <c r="B32" s="46" t="s">
        <v>181</v>
      </c>
      <c r="C32" s="47">
        <v>0.58179999999999998</v>
      </c>
      <c r="D32" s="47"/>
      <c r="E32" s="47">
        <v>0.60450000000000004</v>
      </c>
      <c r="F32" s="47">
        <v>0.56000000000000005</v>
      </c>
      <c r="G32" s="47">
        <v>0.56000000000000005</v>
      </c>
    </row>
    <row r="33" spans="1:7" x14ac:dyDescent="0.25">
      <c r="A33" s="9" t="str">
        <f t="shared" si="0"/>
        <v>THB</v>
      </c>
      <c r="B33" s="44" t="s">
        <v>182</v>
      </c>
      <c r="C33" s="45">
        <v>19.420000000000002</v>
      </c>
      <c r="D33" s="45"/>
      <c r="E33" s="45">
        <v>20.34</v>
      </c>
      <c r="F33" s="45">
        <v>18.46</v>
      </c>
      <c r="G33" s="45">
        <v>18.46</v>
      </c>
    </row>
    <row r="34" spans="1:7" x14ac:dyDescent="0.25">
      <c r="A34" s="9" t="str">
        <f t="shared" si="0"/>
        <v>TOP</v>
      </c>
      <c r="B34" s="46" t="s">
        <v>183</v>
      </c>
      <c r="C34" s="47">
        <v>1.4675</v>
      </c>
      <c r="D34" s="47"/>
      <c r="E34" s="47">
        <v>1.5072000000000001</v>
      </c>
      <c r="F34" s="47">
        <v>1.3208</v>
      </c>
      <c r="G34" s="47">
        <v>1.2928999999999999</v>
      </c>
    </row>
    <row r="35" spans="1:7" ht="26.4" x14ac:dyDescent="0.25">
      <c r="A35" s="9" t="str">
        <f t="shared" si="0"/>
        <v>AED</v>
      </c>
      <c r="B35" s="44" t="s">
        <v>184</v>
      </c>
      <c r="C35" s="45"/>
      <c r="D35" s="45"/>
      <c r="E35" s="45">
        <v>2.6187</v>
      </c>
      <c r="F35" s="45"/>
      <c r="G35" s="45">
        <v>2.0760000000000001</v>
      </c>
    </row>
    <row r="36" spans="1:7" x14ac:dyDescent="0.25">
      <c r="A36" s="9" t="str">
        <f t="shared" si="0"/>
        <v>USD</v>
      </c>
      <c r="B36" s="46" t="s">
        <v>158</v>
      </c>
      <c r="C36" s="47">
        <v>0.60750000000000004</v>
      </c>
      <c r="D36" s="47">
        <v>0.61260000000000003</v>
      </c>
      <c r="E36" s="47">
        <v>0.62939999999999996</v>
      </c>
      <c r="F36" s="47">
        <v>0.58489999999999998</v>
      </c>
      <c r="G36" s="47">
        <v>0.58489999999999998</v>
      </c>
    </row>
    <row r="37" spans="1:7" x14ac:dyDescent="0.25">
      <c r="A37" s="9" t="str">
        <f t="shared" si="0"/>
        <v>VUV</v>
      </c>
      <c r="B37" s="40" t="s">
        <v>156</v>
      </c>
      <c r="C37" s="41">
        <v>77.42</v>
      </c>
      <c r="D37" s="41"/>
      <c r="E37" s="41"/>
      <c r="F37" s="41">
        <v>69.25</v>
      </c>
    </row>
    <row r="38" spans="1:7" x14ac:dyDescent="0.25">
      <c r="B38" s="42" t="s">
        <v>156</v>
      </c>
      <c r="C38" s="43">
        <v>77.73</v>
      </c>
      <c r="D38" s="43"/>
      <c r="E38" s="43"/>
      <c r="F38" s="43">
        <v>69.48</v>
      </c>
      <c r="G38" s="3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D35F-D7FD-4CCA-A211-7FDB8CBCF0F2}">
  <sheetPr codeName="Sheet5"/>
  <dimension ref="A1:P31"/>
  <sheetViews>
    <sheetView workbookViewId="0">
      <selection activeCell="F14" sqref="F14"/>
    </sheetView>
  </sheetViews>
  <sheetFormatPr defaultRowHeight="13.2" x14ac:dyDescent="0.25"/>
  <cols>
    <col min="1" max="1" width="13.88671875" bestFit="1" customWidth="1"/>
    <col min="2" max="2" width="18" bestFit="1" customWidth="1"/>
    <col min="3" max="3" width="15.88671875" bestFit="1" customWidth="1"/>
    <col min="4" max="4" width="17" style="50" bestFit="1" customWidth="1"/>
    <col min="5" max="5" width="15.44140625" style="50" bestFit="1" customWidth="1"/>
    <col min="16" max="16" width="10.88671875" bestFit="1" customWidth="1"/>
  </cols>
  <sheetData>
    <row r="1" spans="1:16" x14ac:dyDescent="0.25">
      <c r="A1" t="s">
        <v>185</v>
      </c>
      <c r="B1" t="s">
        <v>186</v>
      </c>
      <c r="C1" t="s">
        <v>187</v>
      </c>
      <c r="D1" s="50" t="s">
        <v>188</v>
      </c>
      <c r="E1" s="50" t="s">
        <v>189</v>
      </c>
      <c r="F1" t="s">
        <v>190</v>
      </c>
      <c r="G1" t="s">
        <v>191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227</v>
      </c>
    </row>
    <row r="2" spans="1:16" x14ac:dyDescent="0.25">
      <c r="A2" t="s">
        <v>209</v>
      </c>
      <c r="B2" t="s">
        <v>33</v>
      </c>
      <c r="C2" t="s">
        <v>9</v>
      </c>
      <c r="D2" s="50">
        <v>43725.295139004629</v>
      </c>
      <c r="E2" s="50">
        <v>401768.99999988428</v>
      </c>
      <c r="F2">
        <v>1</v>
      </c>
      <c r="G2">
        <v>0.18854799999999999</v>
      </c>
      <c r="H2">
        <v>1</v>
      </c>
      <c r="I2">
        <v>1</v>
      </c>
      <c r="J2">
        <v>1</v>
      </c>
      <c r="K2">
        <v>1</v>
      </c>
      <c r="L2" t="s">
        <v>200</v>
      </c>
      <c r="M2" t="s">
        <v>200</v>
      </c>
      <c r="N2" t="s">
        <v>200</v>
      </c>
      <c r="O2" t="s">
        <v>200</v>
      </c>
      <c r="P2" t="str">
        <f t="shared" ref="P2:P10" si="0">A2</f>
        <v>00atrl311</v>
      </c>
    </row>
    <row r="3" spans="1:16" x14ac:dyDescent="0.25">
      <c r="A3" t="s">
        <v>219</v>
      </c>
      <c r="B3" t="s">
        <v>84</v>
      </c>
      <c r="C3" t="s">
        <v>9</v>
      </c>
      <c r="D3" s="50">
        <v>43908.42083333333</v>
      </c>
      <c r="E3" s="50">
        <v>401768.99999996525</v>
      </c>
      <c r="F3">
        <v>1</v>
      </c>
      <c r="G3">
        <v>0.87870000000000004</v>
      </c>
      <c r="H3">
        <v>1</v>
      </c>
      <c r="I3">
        <v>1</v>
      </c>
      <c r="J3" t="s">
        <v>200</v>
      </c>
      <c r="K3">
        <v>1</v>
      </c>
      <c r="L3" t="s">
        <v>202</v>
      </c>
      <c r="M3" t="s">
        <v>200</v>
      </c>
      <c r="N3" t="s">
        <v>200</v>
      </c>
      <c r="O3" t="s">
        <v>200</v>
      </c>
      <c r="P3" t="str">
        <f t="shared" si="0"/>
        <v>00aw9mu01</v>
      </c>
    </row>
    <row r="4" spans="1:16" x14ac:dyDescent="0.25">
      <c r="A4" t="s">
        <v>220</v>
      </c>
      <c r="B4" t="s">
        <v>17</v>
      </c>
      <c r="C4" t="s">
        <v>9</v>
      </c>
      <c r="D4" s="50">
        <v>43908.421527777777</v>
      </c>
      <c r="E4" s="50">
        <v>401768.99999996525</v>
      </c>
      <c r="F4">
        <v>1</v>
      </c>
      <c r="G4">
        <v>1.4443999999999999</v>
      </c>
      <c r="H4">
        <v>1</v>
      </c>
      <c r="I4">
        <v>1</v>
      </c>
      <c r="J4" t="s">
        <v>200</v>
      </c>
      <c r="K4">
        <v>1</v>
      </c>
      <c r="L4" t="s">
        <v>202</v>
      </c>
      <c r="M4" t="s">
        <v>200</v>
      </c>
      <c r="N4" t="s">
        <v>200</v>
      </c>
      <c r="O4" t="s">
        <v>200</v>
      </c>
      <c r="P4" t="str">
        <f t="shared" si="0"/>
        <v>00aw9mu02</v>
      </c>
    </row>
    <row r="5" spans="1:16" x14ac:dyDescent="0.25">
      <c r="A5" t="s">
        <v>221</v>
      </c>
      <c r="B5" t="s">
        <v>15</v>
      </c>
      <c r="C5" t="s">
        <v>9</v>
      </c>
      <c r="D5" s="50">
        <v>43908.421527777777</v>
      </c>
      <c r="E5" s="50">
        <v>401768.99999996525</v>
      </c>
      <c r="F5">
        <v>1</v>
      </c>
      <c r="G5">
        <v>1.8238000000000001</v>
      </c>
      <c r="H5">
        <v>1</v>
      </c>
      <c r="I5">
        <v>1</v>
      </c>
      <c r="J5" t="s">
        <v>200</v>
      </c>
      <c r="K5">
        <v>1</v>
      </c>
      <c r="L5" t="s">
        <v>202</v>
      </c>
      <c r="M5" t="s">
        <v>200</v>
      </c>
      <c r="N5" t="s">
        <v>200</v>
      </c>
      <c r="O5" t="s">
        <v>200</v>
      </c>
      <c r="P5" t="str">
        <f t="shared" si="0"/>
        <v>00aw9mu03</v>
      </c>
    </row>
    <row r="6" spans="1:16" x14ac:dyDescent="0.25">
      <c r="A6" t="s">
        <v>222</v>
      </c>
      <c r="B6" t="s">
        <v>4</v>
      </c>
      <c r="C6" t="s">
        <v>9</v>
      </c>
      <c r="D6" s="50">
        <v>43908.421527777777</v>
      </c>
      <c r="E6" s="50">
        <v>401768.99999996525</v>
      </c>
      <c r="F6">
        <v>1</v>
      </c>
      <c r="G6">
        <v>1.6688000000000001</v>
      </c>
      <c r="H6">
        <v>1</v>
      </c>
      <c r="I6">
        <v>1</v>
      </c>
      <c r="J6" t="s">
        <v>200</v>
      </c>
      <c r="K6">
        <v>1</v>
      </c>
      <c r="L6" t="s">
        <v>202</v>
      </c>
      <c r="M6" t="s">
        <v>200</v>
      </c>
      <c r="N6" t="s">
        <v>200</v>
      </c>
      <c r="O6" t="s">
        <v>200</v>
      </c>
      <c r="P6" t="str">
        <f t="shared" si="0"/>
        <v>00aw9mu04</v>
      </c>
    </row>
    <row r="7" spans="1:16" x14ac:dyDescent="0.25">
      <c r="A7" t="s">
        <v>223</v>
      </c>
      <c r="B7" t="s">
        <v>7</v>
      </c>
      <c r="C7" t="s">
        <v>9</v>
      </c>
      <c r="D7" s="50">
        <v>43908.422222222223</v>
      </c>
      <c r="E7" s="50">
        <v>401768.99999996525</v>
      </c>
      <c r="F7">
        <v>1</v>
      </c>
      <c r="G7">
        <v>1.41E-2</v>
      </c>
      <c r="H7">
        <v>1</v>
      </c>
      <c r="I7">
        <v>1</v>
      </c>
      <c r="J7" t="s">
        <v>200</v>
      </c>
      <c r="K7">
        <v>1</v>
      </c>
      <c r="L7" t="s">
        <v>202</v>
      </c>
      <c r="M7" t="s">
        <v>200</v>
      </c>
      <c r="N7" t="s">
        <v>200</v>
      </c>
      <c r="O7" t="s">
        <v>200</v>
      </c>
      <c r="P7" t="str">
        <f t="shared" si="0"/>
        <v>00aw9mu05</v>
      </c>
    </row>
    <row r="8" spans="1:16" x14ac:dyDescent="0.25">
      <c r="A8" t="s">
        <v>224</v>
      </c>
      <c r="B8" t="s">
        <v>6</v>
      </c>
      <c r="C8" t="s">
        <v>9</v>
      </c>
      <c r="D8" s="50">
        <v>43908.42291666667</v>
      </c>
      <c r="E8" s="50">
        <v>401768.99999996525</v>
      </c>
      <c r="F8">
        <v>1</v>
      </c>
      <c r="G8">
        <v>0.19450000000000001</v>
      </c>
      <c r="H8">
        <v>1</v>
      </c>
      <c r="I8">
        <v>1</v>
      </c>
      <c r="J8" t="s">
        <v>200</v>
      </c>
      <c r="K8">
        <v>1</v>
      </c>
      <c r="L8" t="s">
        <v>202</v>
      </c>
      <c r="M8" t="s">
        <v>200</v>
      </c>
      <c r="N8" t="s">
        <v>200</v>
      </c>
      <c r="O8" t="s">
        <v>200</v>
      </c>
      <c r="P8" t="str">
        <f t="shared" si="0"/>
        <v>00aw9mu07</v>
      </c>
    </row>
    <row r="9" spans="1:16" x14ac:dyDescent="0.25">
      <c r="A9" t="s">
        <v>225</v>
      </c>
      <c r="B9" t="s">
        <v>72</v>
      </c>
      <c r="C9" t="s">
        <v>9</v>
      </c>
      <c r="D9" s="50">
        <v>43908.42291666667</v>
      </c>
      <c r="E9" s="50">
        <v>401768.99999996525</v>
      </c>
      <c r="F9">
        <v>1</v>
      </c>
      <c r="G9">
        <v>1.1000000000000001E-3</v>
      </c>
      <c r="H9">
        <v>1</v>
      </c>
      <c r="I9">
        <v>1</v>
      </c>
      <c r="J9" t="s">
        <v>200</v>
      </c>
      <c r="K9">
        <v>1</v>
      </c>
      <c r="L9" t="s">
        <v>202</v>
      </c>
      <c r="M9" t="s">
        <v>200</v>
      </c>
      <c r="N9" t="s">
        <v>200</v>
      </c>
      <c r="O9" t="s">
        <v>200</v>
      </c>
      <c r="P9" t="str">
        <f t="shared" si="0"/>
        <v>00aw9mu08</v>
      </c>
    </row>
    <row r="10" spans="1:16" x14ac:dyDescent="0.25">
      <c r="A10" t="s">
        <v>226</v>
      </c>
      <c r="B10" t="s">
        <v>11</v>
      </c>
      <c r="C10" t="s">
        <v>9</v>
      </c>
      <c r="D10" s="50">
        <v>43908.42291666667</v>
      </c>
      <c r="E10" s="50">
        <v>401768.99999996525</v>
      </c>
      <c r="F10">
        <v>1</v>
      </c>
      <c r="G10">
        <v>1.0578000000000001</v>
      </c>
      <c r="H10">
        <v>1</v>
      </c>
      <c r="I10">
        <v>1</v>
      </c>
      <c r="J10" t="s">
        <v>200</v>
      </c>
      <c r="K10">
        <v>1</v>
      </c>
      <c r="L10" t="s">
        <v>202</v>
      </c>
      <c r="M10" t="s">
        <v>200</v>
      </c>
      <c r="N10" t="s">
        <v>200</v>
      </c>
      <c r="O10" t="s">
        <v>200</v>
      </c>
      <c r="P10" t="str">
        <f t="shared" si="0"/>
        <v>00aw9mu09</v>
      </c>
    </row>
    <row r="17" spans="1:16" x14ac:dyDescent="0.25">
      <c r="A17" t="s">
        <v>185</v>
      </c>
      <c r="B17" t="s">
        <v>186</v>
      </c>
      <c r="C17" t="s">
        <v>187</v>
      </c>
      <c r="D17" s="50" t="s">
        <v>188</v>
      </c>
      <c r="E17" s="50" t="s">
        <v>189</v>
      </c>
      <c r="F17" t="s">
        <v>190</v>
      </c>
      <c r="G17" t="s">
        <v>191</v>
      </c>
      <c r="H17" t="s">
        <v>192</v>
      </c>
      <c r="I17" t="s">
        <v>193</v>
      </c>
      <c r="J17" t="s">
        <v>194</v>
      </c>
      <c r="K17" t="s">
        <v>195</v>
      </c>
      <c r="L17" t="s">
        <v>196</v>
      </c>
      <c r="M17" t="s">
        <v>197</v>
      </c>
      <c r="N17" t="s">
        <v>198</v>
      </c>
      <c r="O17" t="s">
        <v>199</v>
      </c>
      <c r="P17" t="s">
        <v>227</v>
      </c>
    </row>
    <row r="18" spans="1:16" x14ac:dyDescent="0.25">
      <c r="A18" t="s">
        <v>201</v>
      </c>
      <c r="B18" t="s">
        <v>84</v>
      </c>
      <c r="C18" t="s">
        <v>84</v>
      </c>
      <c r="D18" s="50">
        <v>32874.000000115739</v>
      </c>
      <c r="E18" s="50">
        <v>401768.99999988428</v>
      </c>
      <c r="F18">
        <v>1</v>
      </c>
      <c r="G18" t="s">
        <v>200</v>
      </c>
      <c r="H18">
        <v>1</v>
      </c>
      <c r="I18">
        <v>1</v>
      </c>
      <c r="J18" t="s">
        <v>200</v>
      </c>
      <c r="K18" t="s">
        <v>200</v>
      </c>
      <c r="L18" t="s">
        <v>200</v>
      </c>
      <c r="M18" t="s">
        <v>200</v>
      </c>
      <c r="N18" t="s">
        <v>200</v>
      </c>
      <c r="O18" t="s">
        <v>200</v>
      </c>
      <c r="P18" t="str">
        <f t="shared" ref="P18:P31" si="1">A18</f>
        <v>000tx01</v>
      </c>
    </row>
    <row r="19" spans="1:16" x14ac:dyDescent="0.25">
      <c r="A19" t="s">
        <v>203</v>
      </c>
      <c r="B19" t="s">
        <v>135</v>
      </c>
      <c r="C19" t="s">
        <v>84</v>
      </c>
      <c r="D19" s="50">
        <v>42433.390646956017</v>
      </c>
      <c r="E19" s="50">
        <v>401768.99999988428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 t="s">
        <v>200</v>
      </c>
      <c r="M19" t="s">
        <v>200</v>
      </c>
      <c r="N19" t="s">
        <v>200</v>
      </c>
      <c r="O19" t="s">
        <v>200</v>
      </c>
      <c r="P19" t="str">
        <f t="shared" si="1"/>
        <v>00ajtph0j</v>
      </c>
    </row>
    <row r="20" spans="1:16" x14ac:dyDescent="0.25">
      <c r="A20" t="s">
        <v>204</v>
      </c>
      <c r="B20" t="s">
        <v>31</v>
      </c>
      <c r="C20" t="s">
        <v>84</v>
      </c>
      <c r="D20" s="50">
        <v>42727.390438159724</v>
      </c>
      <c r="E20" s="50">
        <v>401768.99999988428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 t="s">
        <v>200</v>
      </c>
      <c r="M20" t="s">
        <v>200</v>
      </c>
      <c r="N20" t="s">
        <v>200</v>
      </c>
      <c r="O20" t="s">
        <v>200</v>
      </c>
      <c r="P20" t="str">
        <f t="shared" si="1"/>
        <v>00al4aw0g</v>
      </c>
    </row>
    <row r="21" spans="1:16" x14ac:dyDescent="0.25">
      <c r="A21" t="s">
        <v>205</v>
      </c>
      <c r="B21" t="s">
        <v>206</v>
      </c>
      <c r="C21" t="s">
        <v>84</v>
      </c>
      <c r="D21" s="50">
        <v>42894.371380821758</v>
      </c>
      <c r="E21" s="50">
        <v>401768.99999988428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 t="s">
        <v>200</v>
      </c>
      <c r="M21" t="s">
        <v>200</v>
      </c>
      <c r="N21" t="s">
        <v>200</v>
      </c>
      <c r="O21" t="s">
        <v>200</v>
      </c>
      <c r="P21" t="str">
        <f t="shared" si="1"/>
        <v>00am3781c</v>
      </c>
    </row>
    <row r="22" spans="1:16" x14ac:dyDescent="0.25">
      <c r="A22" t="s">
        <v>207</v>
      </c>
      <c r="B22" t="s">
        <v>208</v>
      </c>
      <c r="C22" t="s">
        <v>84</v>
      </c>
      <c r="D22" s="50">
        <v>43098.500646180553</v>
      </c>
      <c r="E22" s="50">
        <v>401768.99999988428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 t="s">
        <v>200</v>
      </c>
      <c r="M22" t="s">
        <v>200</v>
      </c>
      <c r="N22" t="s">
        <v>200</v>
      </c>
      <c r="O22" t="s">
        <v>200</v>
      </c>
      <c r="P22" t="str">
        <f t="shared" si="1"/>
        <v>00ancp01d</v>
      </c>
    </row>
    <row r="23" spans="1:16" x14ac:dyDescent="0.25">
      <c r="A23" t="s">
        <v>210</v>
      </c>
      <c r="B23" s="25" t="s">
        <v>33</v>
      </c>
      <c r="C23" t="s">
        <v>84</v>
      </c>
      <c r="D23" s="50">
        <v>43725.420139004629</v>
      </c>
      <c r="E23" s="50">
        <v>401768.99999988428</v>
      </c>
      <c r="F23">
        <v>1</v>
      </c>
      <c r="G23">
        <v>0.17982999999999999</v>
      </c>
      <c r="H23">
        <v>1</v>
      </c>
      <c r="I23">
        <v>1</v>
      </c>
      <c r="J23">
        <v>1</v>
      </c>
      <c r="K23">
        <v>1</v>
      </c>
      <c r="L23" t="s">
        <v>200</v>
      </c>
      <c r="M23" t="s">
        <v>200</v>
      </c>
      <c r="N23" t="s">
        <v>200</v>
      </c>
      <c r="O23" t="s">
        <v>200</v>
      </c>
      <c r="P23" t="str">
        <f t="shared" si="1"/>
        <v>00atrt40h</v>
      </c>
    </row>
    <row r="24" spans="1:16" x14ac:dyDescent="0.25">
      <c r="A24" t="s">
        <v>211</v>
      </c>
      <c r="B24" t="s">
        <v>4</v>
      </c>
      <c r="C24" t="s">
        <v>84</v>
      </c>
      <c r="D24" s="50">
        <v>43907.42291666667</v>
      </c>
      <c r="E24" s="50">
        <v>401768.99999996525</v>
      </c>
      <c r="F24">
        <v>1</v>
      </c>
      <c r="G24">
        <v>1.6060000000000001</v>
      </c>
      <c r="H24">
        <v>1</v>
      </c>
      <c r="I24">
        <v>1</v>
      </c>
      <c r="J24" t="s">
        <v>200</v>
      </c>
      <c r="K24">
        <v>1</v>
      </c>
      <c r="L24" t="s">
        <v>202</v>
      </c>
      <c r="M24" t="s">
        <v>200</v>
      </c>
      <c r="N24" t="s">
        <v>200</v>
      </c>
      <c r="O24" t="s">
        <v>200</v>
      </c>
      <c r="P24" t="str">
        <f t="shared" si="1"/>
        <v>00aw9hh01</v>
      </c>
    </row>
    <row r="25" spans="1:16" x14ac:dyDescent="0.25">
      <c r="A25" t="s">
        <v>212</v>
      </c>
      <c r="B25" t="s">
        <v>7</v>
      </c>
      <c r="C25" t="s">
        <v>84</v>
      </c>
      <c r="D25" s="50">
        <v>43907.423611111109</v>
      </c>
      <c r="E25" s="50">
        <v>401768.99999996525</v>
      </c>
      <c r="F25">
        <v>1</v>
      </c>
      <c r="G25">
        <v>1.2999999999999999E-2</v>
      </c>
      <c r="H25">
        <v>1</v>
      </c>
      <c r="I25">
        <v>1</v>
      </c>
      <c r="J25" t="s">
        <v>200</v>
      </c>
      <c r="K25">
        <v>1</v>
      </c>
      <c r="L25" t="s">
        <v>202</v>
      </c>
      <c r="M25" t="s">
        <v>200</v>
      </c>
      <c r="N25" t="s">
        <v>200</v>
      </c>
      <c r="O25" t="s">
        <v>200</v>
      </c>
      <c r="P25" t="str">
        <f t="shared" si="1"/>
        <v>00aw9hh02</v>
      </c>
    </row>
    <row r="26" spans="1:16" x14ac:dyDescent="0.25">
      <c r="A26" t="s">
        <v>213</v>
      </c>
      <c r="B26" t="s">
        <v>9</v>
      </c>
      <c r="C26" t="s">
        <v>84</v>
      </c>
      <c r="D26" s="50">
        <v>43907.424305555556</v>
      </c>
      <c r="E26" s="50">
        <v>401768.99999996525</v>
      </c>
      <c r="F26">
        <v>1</v>
      </c>
      <c r="G26">
        <v>0.87450000000000006</v>
      </c>
      <c r="H26">
        <v>1</v>
      </c>
      <c r="I26">
        <v>1</v>
      </c>
      <c r="J26" t="s">
        <v>200</v>
      </c>
      <c r="K26">
        <v>1</v>
      </c>
      <c r="L26" t="s">
        <v>202</v>
      </c>
      <c r="M26" t="s">
        <v>200</v>
      </c>
      <c r="N26" t="s">
        <v>200</v>
      </c>
      <c r="O26" t="s">
        <v>200</v>
      </c>
      <c r="P26" t="str">
        <f t="shared" si="1"/>
        <v>00aw9hh03</v>
      </c>
    </row>
    <row r="27" spans="1:16" x14ac:dyDescent="0.25">
      <c r="A27" t="s">
        <v>214</v>
      </c>
      <c r="B27" t="s">
        <v>15</v>
      </c>
      <c r="C27" t="s">
        <v>84</v>
      </c>
      <c r="D27" s="50">
        <v>43907.424305555556</v>
      </c>
      <c r="E27" s="50">
        <v>401768.99999996525</v>
      </c>
      <c r="F27">
        <v>1</v>
      </c>
      <c r="G27">
        <v>1.7936000000000001</v>
      </c>
      <c r="H27">
        <v>1</v>
      </c>
      <c r="I27">
        <v>1</v>
      </c>
      <c r="J27" t="s">
        <v>200</v>
      </c>
      <c r="K27">
        <v>1</v>
      </c>
      <c r="L27" t="s">
        <v>202</v>
      </c>
      <c r="M27" t="s">
        <v>200</v>
      </c>
      <c r="N27" t="s">
        <v>200</v>
      </c>
      <c r="O27" t="s">
        <v>200</v>
      </c>
      <c r="P27" t="str">
        <f t="shared" si="1"/>
        <v>00aw9hh04</v>
      </c>
    </row>
    <row r="28" spans="1:16" x14ac:dyDescent="0.25">
      <c r="A28" t="s">
        <v>215</v>
      </c>
      <c r="B28" t="s">
        <v>17</v>
      </c>
      <c r="C28" t="s">
        <v>84</v>
      </c>
      <c r="D28" s="50">
        <v>43907.425000000003</v>
      </c>
      <c r="E28" s="50">
        <v>401768.99999996525</v>
      </c>
      <c r="F28">
        <v>1</v>
      </c>
      <c r="G28">
        <v>1.4789000000000001</v>
      </c>
      <c r="H28">
        <v>1</v>
      </c>
      <c r="I28">
        <v>1</v>
      </c>
      <c r="J28" t="s">
        <v>200</v>
      </c>
      <c r="K28">
        <v>1</v>
      </c>
      <c r="L28" t="s">
        <v>202</v>
      </c>
      <c r="M28" t="s">
        <v>200</v>
      </c>
      <c r="N28" t="s">
        <v>200</v>
      </c>
      <c r="O28" t="s">
        <v>200</v>
      </c>
      <c r="P28" t="str">
        <f t="shared" si="1"/>
        <v>00aw9hh05</v>
      </c>
    </row>
    <row r="29" spans="1:16" x14ac:dyDescent="0.25">
      <c r="A29" t="s">
        <v>216</v>
      </c>
      <c r="B29" t="s">
        <v>6</v>
      </c>
      <c r="C29" t="s">
        <v>84</v>
      </c>
      <c r="D29" s="50">
        <v>43907.425694444442</v>
      </c>
      <c r="E29" s="50">
        <v>401768.99999996525</v>
      </c>
      <c r="F29">
        <v>1</v>
      </c>
      <c r="G29">
        <v>0.17910000000000001</v>
      </c>
      <c r="H29">
        <v>1</v>
      </c>
      <c r="I29">
        <v>1</v>
      </c>
      <c r="J29" t="s">
        <v>200</v>
      </c>
      <c r="K29">
        <v>1</v>
      </c>
      <c r="L29" t="s">
        <v>202</v>
      </c>
      <c r="M29" t="s">
        <v>200</v>
      </c>
      <c r="N29" t="s">
        <v>200</v>
      </c>
      <c r="O29" t="s">
        <v>200</v>
      </c>
      <c r="P29" t="str">
        <f t="shared" si="1"/>
        <v>00aw9hh07</v>
      </c>
    </row>
    <row r="30" spans="1:16" x14ac:dyDescent="0.25">
      <c r="A30" t="s">
        <v>217</v>
      </c>
      <c r="B30" t="s">
        <v>72</v>
      </c>
      <c r="C30" t="s">
        <v>84</v>
      </c>
      <c r="D30" s="50">
        <v>43907.430555555555</v>
      </c>
      <c r="E30" s="50">
        <v>401768.99999996525</v>
      </c>
      <c r="F30">
        <v>1</v>
      </c>
      <c r="G30">
        <v>1.1000000000000001E-3</v>
      </c>
      <c r="H30">
        <v>1</v>
      </c>
      <c r="I30">
        <v>1</v>
      </c>
      <c r="J30" t="s">
        <v>200</v>
      </c>
      <c r="K30">
        <v>1</v>
      </c>
      <c r="L30" t="s">
        <v>202</v>
      </c>
      <c r="M30" t="s">
        <v>200</v>
      </c>
      <c r="N30" t="s">
        <v>200</v>
      </c>
      <c r="O30" t="s">
        <v>200</v>
      </c>
      <c r="P30" t="str">
        <f t="shared" si="1"/>
        <v>00aw9hh08</v>
      </c>
    </row>
    <row r="31" spans="1:16" x14ac:dyDescent="0.25">
      <c r="A31" t="s">
        <v>218</v>
      </c>
      <c r="B31" t="s">
        <v>11</v>
      </c>
      <c r="C31" t="s">
        <v>84</v>
      </c>
      <c r="D31" s="50">
        <v>43907.431250000001</v>
      </c>
      <c r="E31" s="50">
        <v>401768.99999996525</v>
      </c>
      <c r="F31">
        <v>1</v>
      </c>
      <c r="G31">
        <v>0.95430000000000004</v>
      </c>
      <c r="H31">
        <v>1</v>
      </c>
      <c r="I31">
        <v>1</v>
      </c>
      <c r="J31" t="s">
        <v>200</v>
      </c>
      <c r="K31">
        <v>1</v>
      </c>
      <c r="L31" t="s">
        <v>202</v>
      </c>
      <c r="M31" t="s">
        <v>200</v>
      </c>
      <c r="N31" t="s">
        <v>200</v>
      </c>
      <c r="O31" t="s">
        <v>200</v>
      </c>
      <c r="P31" t="str">
        <f t="shared" si="1"/>
        <v>00aw9hh09</v>
      </c>
    </row>
  </sheetData>
  <autoFilter ref="A1:P10" xr:uid="{2ED66D99-FB62-4331-8821-3FF011D2E825}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77517F-56D1-4C46-9BE9-EAC2E70D13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AU</vt:lpstr>
      <vt:lpstr>AU Paste</vt:lpstr>
      <vt:lpstr>NZ</vt:lpstr>
      <vt:lpstr>Table 1</vt:lpstr>
      <vt:lpstr>NZ PASTE</vt:lpstr>
      <vt:lpstr>Sheet1</vt:lpstr>
    </vt:vector>
  </TitlesOfParts>
  <Company>Australian Way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Australian Way</dc:creator>
  <cp:lastModifiedBy>M</cp:lastModifiedBy>
  <cp:lastPrinted>2021-07-08T04:02:39Z</cp:lastPrinted>
  <dcterms:created xsi:type="dcterms:W3CDTF">2002-11-18T22:06:36Z</dcterms:created>
  <dcterms:modified xsi:type="dcterms:W3CDTF">2021-08-11T07:12:38Z</dcterms:modified>
</cp:coreProperties>
</file>